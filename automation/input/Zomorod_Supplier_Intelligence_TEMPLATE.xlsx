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Dashboard" sheetId="1" state="visible" r:id="rId1"/>
    <sheet xmlns:r="http://schemas.openxmlformats.org/officeDocument/2006/relationships" name="RFQ_Batch_Generator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Supplier_Intelligence" sheetId="4" state="visible" r:id="rId4"/>
    <sheet xmlns:r="http://schemas.openxmlformats.org/officeDocument/2006/relationships" name="Seed_URLs" sheetId="5" state="visible" r:id="rId5"/>
    <sheet xmlns:r="http://schemas.openxmlformats.org/officeDocument/2006/relationships" name="Source_Config" sheetId="6" state="visible" r:id="rId6"/>
    <sheet xmlns:r="http://schemas.openxmlformats.org/officeDocument/2006/relationships" name="Category_Keywords" sheetId="7" state="visible" r:id="rId7"/>
    <sheet xmlns:r="http://schemas.openxmlformats.org/officeDocument/2006/relationships" name="Benchmarks" sheetId="8" state="visible" r:id="rId8"/>
    <sheet xmlns:r="http://schemas.openxmlformats.org/officeDocument/2006/relationships" name="Risk_Model" sheetId="9" state="visible" r:id="rId9"/>
    <sheet xmlns:r="http://schemas.openxmlformats.org/officeDocument/2006/relationships" name="Run_Log" sheetId="10" state="visible" r:id="rId10"/>
    <sheet xmlns:r="http://schemas.openxmlformats.org/officeDocument/2006/relationships" name="Outreach_Batch" sheetId="11" state="visible" r:id="rId11"/>
    <sheet xmlns:r="http://schemas.openxmlformats.org/officeDocument/2006/relationships" name="View_Malaysia" sheetId="12" state="visible" r:id="rId12"/>
    <sheet xmlns:r="http://schemas.openxmlformats.org/officeDocument/2006/relationships" name="View_Turkey" sheetId="13" state="visible" r:id="rId13"/>
    <sheet xmlns:r="http://schemas.openxmlformats.org/officeDocument/2006/relationships" name="View_China" sheetId="14" state="visible" r:id="rId14"/>
    <sheet xmlns:r="http://schemas.openxmlformats.org/officeDocument/2006/relationships" name="View_Egypt" sheetId="15" state="visible" r:id="rId15"/>
    <sheet xmlns:r="http://schemas.openxmlformats.org/officeDocument/2006/relationships" name="View_Germany" sheetId="16" state="visible" r:id="rId16"/>
    <sheet xmlns:r="http://schemas.openxmlformats.org/officeDocument/2006/relationships" name="View_France" sheetId="17" state="visible" r:id="rId17"/>
    <sheet xmlns:r="http://schemas.openxmlformats.org/officeDocument/2006/relationships" name="View_Italy" sheetId="18" state="visible" r:id="rId18"/>
    <sheet xmlns:r="http://schemas.openxmlformats.org/officeDocument/2006/relationships" name="View_Spain" sheetId="19" state="visible" r:id="rId19"/>
    <sheet xmlns:r="http://schemas.openxmlformats.org/officeDocument/2006/relationships" name="View_United_Kingdom" sheetId="20" state="visible" r:id="rId20"/>
  </sheets>
  <definedNames>
    <definedName name="_xlnm._FilterDatabase" localSheetId="3" hidden="1">'Supplier_Intelligence'!$A$1:$U$1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Zomorod Supplier Intelligence — Dashboard</t>
        </is>
      </c>
    </row>
    <row r="3">
      <c r="A3" t="inlineStr">
        <is>
          <t>Total suppliers (with email)</t>
        </is>
      </c>
      <c r="B3">
        <f>COUNTIF(Supplier_Intelligence!$I$2:$I$3001,"*?@*.*")</f>
        <v/>
      </c>
    </row>
    <row r="4">
      <c r="A4" t="inlineStr">
        <is>
          <t>Total LOW risk</t>
        </is>
      </c>
      <c r="B4">
        <f>COUNTIF(Supplier_Intelligence!$R$2:$R$3001,"LOW")</f>
        <v/>
      </c>
    </row>
    <row r="5">
      <c r="A5" t="inlineStr">
        <is>
          <t>Total MED risk</t>
        </is>
      </c>
      <c r="B5">
        <f>COUNTIF(Supplier_Intelligence!$R$2:$R$3001,"MED")</f>
        <v/>
      </c>
    </row>
    <row r="6">
      <c r="A6" t="inlineStr">
        <is>
          <t>Total HIGH risk</t>
        </is>
      </c>
      <c r="B6">
        <f>COUNTIF(Supplier_Intelligence!$R$2:$R$3001,"HIGH")</f>
        <v/>
      </c>
    </row>
    <row r="8">
      <c r="A8" t="inlineStr">
        <is>
          <t>By Country (email-verified)</t>
        </is>
      </c>
      <c r="D8" t="inlineStr">
        <is>
          <t>By Category (email-verified)</t>
        </is>
      </c>
    </row>
    <row r="9">
      <c r="A9" t="inlineStr">
        <is>
          <t>Country</t>
        </is>
      </c>
      <c r="B9" t="inlineStr">
        <is>
          <t>Suppliers</t>
        </is>
      </c>
      <c r="D9" t="inlineStr">
        <is>
          <t>Primary Category</t>
        </is>
      </c>
      <c r="E9" t="inlineStr">
        <is>
          <t>Suppliers</t>
        </is>
      </c>
    </row>
    <row r="10">
      <c r="A10" t="inlineStr">
        <is>
          <t>Malaysia</t>
        </is>
      </c>
      <c r="B10">
        <f>COUNTIFS(Supplier_Intelligence!$C$2:$C$3001,A10,Supplier_Intelligence!$I$2:$I$3001,"*?@*.*")</f>
        <v/>
      </c>
      <c r="D10" t="inlineStr">
        <is>
          <t>Wound Care</t>
        </is>
      </c>
      <c r="E10">
        <f>COUNTIFS(Supplier_Intelligence!$E$2:$E$3001,D10,Supplier_Intelligence!$I$2:$I$3001,"*?@*.*")</f>
        <v/>
      </c>
    </row>
    <row r="11">
      <c r="A11" t="inlineStr">
        <is>
          <t>Turkey</t>
        </is>
      </c>
      <c r="B11">
        <f>COUNTIFS(Supplier_Intelligence!$C$2:$C$3001,A11,Supplier_Intelligence!$I$2:$I$3001,"*?@*.*")</f>
        <v/>
      </c>
      <c r="D11" t="inlineStr">
        <is>
          <t>Syringes &amp; Needles</t>
        </is>
      </c>
      <c r="E11">
        <f>COUNTIFS(Supplier_Intelligence!$E$2:$E$3001,D11,Supplier_Intelligence!$I$2:$I$3001,"*?@*.*")</f>
        <v/>
      </c>
    </row>
    <row r="12">
      <c r="A12" t="inlineStr">
        <is>
          <t>China</t>
        </is>
      </c>
      <c r="B12">
        <f>COUNTIFS(Supplier_Intelligence!$C$2:$C$3001,A12,Supplier_Intelligence!$I$2:$I$3001,"*?@*.*")</f>
        <v/>
      </c>
      <c r="D12" t="inlineStr">
        <is>
          <t>IV Cannulas</t>
        </is>
      </c>
      <c r="E12">
        <f>COUNTIFS(Supplier_Intelligence!$E$2:$E$3001,D12,Supplier_Intelligence!$I$2:$I$3001,"*?@*.*")</f>
        <v/>
      </c>
    </row>
    <row r="13">
      <c r="A13" t="inlineStr">
        <is>
          <t>Egypt</t>
        </is>
      </c>
      <c r="B13">
        <f>COUNTIFS(Supplier_Intelligence!$C$2:$C$3001,A13,Supplier_Intelligence!$I$2:$I$3001,"*?@*.*")</f>
        <v/>
      </c>
      <c r="D13" t="inlineStr">
        <is>
          <t>IV Infusion Sets</t>
        </is>
      </c>
      <c r="E13">
        <f>COUNTIFS(Supplier_Intelligence!$E$2:$E$3001,D13,Supplier_Intelligence!$I$2:$I$3001,"*?@*.*")</f>
        <v/>
      </c>
    </row>
    <row r="14">
      <c r="A14" t="inlineStr">
        <is>
          <t>Germany</t>
        </is>
      </c>
      <c r="B14">
        <f>COUNTIFS(Supplier_Intelligence!$C$2:$C$3001,A14,Supplier_Intelligence!$I$2:$I$3001,"*?@*.*")</f>
        <v/>
      </c>
      <c r="D14" t="inlineStr">
        <is>
          <t>Catheters</t>
        </is>
      </c>
      <c r="E14">
        <f>COUNTIFS(Supplier_Intelligence!$E$2:$E$3001,D14,Supplier_Intelligence!$I$2:$I$3001,"*?@*.*")</f>
        <v/>
      </c>
    </row>
    <row r="15">
      <c r="A15" t="inlineStr">
        <is>
          <t>France</t>
        </is>
      </c>
      <c r="B15">
        <f>COUNTIFS(Supplier_Intelligence!$C$2:$C$3001,A15,Supplier_Intelligence!$I$2:$I$3001,"*?@*.*")</f>
        <v/>
      </c>
      <c r="D15" t="inlineStr">
        <is>
          <t>Gloves</t>
        </is>
      </c>
      <c r="E15">
        <f>COUNTIFS(Supplier_Intelligence!$E$2:$E$3001,D15,Supplier_Intelligence!$I$2:$I$3001,"*?@*.*")</f>
        <v/>
      </c>
    </row>
    <row r="16">
      <c r="A16" t="inlineStr">
        <is>
          <t>Italy</t>
        </is>
      </c>
      <c r="B16">
        <f>COUNTIFS(Supplier_Intelligence!$C$2:$C$3001,A16,Supplier_Intelligence!$I$2:$I$3001,"*?@*.*")</f>
        <v/>
      </c>
      <c r="D16" t="inlineStr">
        <is>
          <t>PPE</t>
        </is>
      </c>
      <c r="E16">
        <f>COUNTIFS(Supplier_Intelligence!$E$2:$E$3001,D16,Supplier_Intelligence!$I$2:$I$3001,"*?@*.*")</f>
        <v/>
      </c>
    </row>
    <row r="17">
      <c r="A17" t="inlineStr">
        <is>
          <t>Spain</t>
        </is>
      </c>
      <c r="B17">
        <f>COUNTIFS(Supplier_Intelligence!$C$2:$C$3001,A17,Supplier_Intelligence!$I$2:$I$3001,"*?@*.*")</f>
        <v/>
      </c>
      <c r="D17" t="inlineStr">
        <is>
          <t>Gauze &amp; Bandages</t>
        </is>
      </c>
      <c r="E17">
        <f>COUNTIFS(Supplier_Intelligence!$E$2:$E$3001,D17,Supplier_Intelligence!$I$2:$I$3001,"*?@*.*")</f>
        <v/>
      </c>
    </row>
    <row r="18">
      <c r="A18" t="inlineStr">
        <is>
          <t>United Kingdom</t>
        </is>
      </c>
      <c r="B18">
        <f>COUNTIFS(Supplier_Intelligence!$C$2:$C$3001,A18,Supplier_Intelligence!$I$2:$I$3001,"*?@*.*")</f>
        <v/>
      </c>
      <c r="D18" t="inlineStr">
        <is>
          <t>Disinfectants</t>
        </is>
      </c>
      <c r="E18">
        <f>COUNTIFS(Supplier_Intelligence!$E$2:$E$3001,D18,Supplier_Intelligence!$I$2:$I$3001,"*?@*.*")</f>
        <v/>
      </c>
    </row>
    <row r="19">
      <c r="D19" t="inlineStr">
        <is>
          <t>Lab Consumables</t>
        </is>
      </c>
      <c r="E19">
        <f>COUNTIFS(Supplier_Intelligence!$E$2:$E$3001,D19,Supplier_Intelligence!$I$2:$I$3001,"*?@*.*")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RFQ Batch Generator (LOW/MED recommended)</t>
        </is>
      </c>
    </row>
    <row r="2">
      <c r="J2" t="inlineStr">
        <is>
          <t>Categories</t>
        </is>
      </c>
      <c r="K2" t="inlineStr">
        <is>
          <t>Countries</t>
        </is>
      </c>
      <c r="L2" t="inlineStr">
        <is>
          <t>RiskLevels</t>
        </is>
      </c>
    </row>
    <row r="3">
      <c r="A3" t="inlineStr">
        <is>
          <t>Primary Category (optional)</t>
        </is>
      </c>
      <c r="J3" t="inlineStr">
        <is>
          <t>Wound Care</t>
        </is>
      </c>
      <c r="K3" t="inlineStr">
        <is>
          <t>Malaysia</t>
        </is>
      </c>
      <c r="L3" t="inlineStr">
        <is>
          <t>LOW</t>
        </is>
      </c>
    </row>
    <row r="4">
      <c r="A4" t="inlineStr">
        <is>
          <t>Country (optional)</t>
        </is>
      </c>
      <c r="J4" t="inlineStr">
        <is>
          <t>Syringes &amp; Needles</t>
        </is>
      </c>
      <c r="K4" t="inlineStr">
        <is>
          <t>Turkey</t>
        </is>
      </c>
      <c r="L4" t="inlineStr">
        <is>
          <t>MED</t>
        </is>
      </c>
    </row>
    <row r="5">
      <c r="A5" t="inlineStr">
        <is>
          <t>Max Risk Level</t>
        </is>
      </c>
      <c r="B5" t="inlineStr">
        <is>
          <t>MED</t>
        </is>
      </c>
      <c r="J5" t="inlineStr">
        <is>
          <t>IV Cannulas</t>
        </is>
      </c>
      <c r="K5" t="inlineStr">
        <is>
          <t>China</t>
        </is>
      </c>
      <c r="L5" t="inlineStr">
        <is>
          <t>HIGH</t>
        </is>
      </c>
    </row>
    <row r="6">
      <c r="A6" t="inlineStr">
        <is>
          <t>Batch Size</t>
        </is>
      </c>
      <c r="B6" t="n">
        <v>100</v>
      </c>
      <c r="J6" t="inlineStr">
        <is>
          <t>IV Infusion Sets</t>
        </is>
      </c>
      <c r="K6" t="inlineStr">
        <is>
          <t>Egypt</t>
        </is>
      </c>
    </row>
    <row r="7">
      <c r="A7" t="inlineStr">
        <is>
          <t>Batch #</t>
        </is>
      </c>
      <c r="B7" t="n">
        <v>1</v>
      </c>
      <c r="J7" t="inlineStr">
        <is>
          <t>Catheters</t>
        </is>
      </c>
      <c r="K7" t="inlineStr">
        <is>
          <t>Germany</t>
        </is>
      </c>
    </row>
    <row r="8">
      <c r="J8" t="inlineStr">
        <is>
          <t>Gloves</t>
        </is>
      </c>
      <c r="K8" t="inlineStr">
        <is>
          <t>France</t>
        </is>
      </c>
    </row>
    <row r="9">
      <c r="A9" t="inlineStr">
        <is>
          <t>Company</t>
        </is>
      </c>
      <c r="B9" t="inlineStr">
        <is>
          <t>Email(s)</t>
        </is>
      </c>
      <c r="C9" t="inlineStr">
        <is>
          <t>Country</t>
        </is>
      </c>
      <c r="D9" t="inlineStr">
        <is>
          <t>Primary_Category</t>
        </is>
      </c>
      <c r="E9" t="inlineStr">
        <is>
          <t>Risk_Level</t>
        </is>
      </c>
      <c r="F9" t="inlineStr">
        <is>
          <t>Evidence_URL</t>
        </is>
      </c>
      <c r="J9" t="inlineStr">
        <is>
          <t>PPE</t>
        </is>
      </c>
      <c r="K9" t="inlineStr">
        <is>
          <t>Italy</t>
        </is>
      </c>
    </row>
    <row r="10">
      <c r="A10">
        <f>LET(cat,$B$3,cty,$B$4,maxRisk,$B$5,batchSize,$B$6,batchNum,$B$7,tbl,Supplier_Intelligence!$A$2:$U$3001,co,INDEX(tbl,,2),em,INDEX(tbl,,9),country,INDEX(tbl,,3),pcat,INDEX(tbl,,5),risk,INDEX(tbl,,18),ev,INDEX(tbl,,15),isRisk,IF(maxRisk="LOW",risk="LOW",IF(maxRisk="MED",(risk="LOW")+(risk="MED"),1)),isCat,IF(cat="",1,pcat=cat),isCty,IF(cty="",1,country=cty),mask,(co&lt;&gt;"")*(em&lt;&gt;"")*isRisk*isCat*isCty,filtered,FILTER(HSTACK(co,em,country,pcat,risk,ev),mask,""),start,(batchNum-1)*batchSize+1,TAKE(DROP(filtered,start-1),batchSize))</f>
        <v/>
      </c>
      <c r="J10" t="inlineStr">
        <is>
          <t>Gauze &amp; Bandages</t>
        </is>
      </c>
      <c r="K10" t="inlineStr">
        <is>
          <t>Spain</t>
        </is>
      </c>
    </row>
    <row r="11">
      <c r="J11" t="inlineStr">
        <is>
          <t>Disinfectants</t>
        </is>
      </c>
      <c r="K11" t="inlineStr">
        <is>
          <t>United Kingdom</t>
        </is>
      </c>
    </row>
    <row r="12">
      <c r="J12" t="inlineStr">
        <is>
          <t>Lab Consumables</t>
        </is>
      </c>
    </row>
  </sheetData>
  <dataValidations count="3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1" type="list">
      <formula1>=$K$3:$K$11</formula1>
    </dataValidation>
    <dataValidation sqref="B5" showDropDown="0" showInputMessage="0" showErrorMessage="0" allowBlank="0" type="list">
      <formula1>=$L$3:$L$5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Zomorod Supplier Intelligence — AutoFill Workbook (180 suppliers)</t>
        </is>
      </c>
    </row>
    <row r="2">
      <c r="A2" s="2" t="inlineStr">
        <is>
          <t>Purpose</t>
        </is>
      </c>
      <c r="B2" t="inlineStr">
        <is>
          <t>Collect 180 verified manufacturers + exporters with emails, mapped to Zomorod categories, with evidence links and risk scoring.</t>
        </is>
      </c>
    </row>
    <row r="3">
      <c r="A3" s="2" t="inlineStr">
        <is>
          <t>How it works</t>
        </is>
      </c>
      <c r="B3" t="inlineStr">
        <is>
          <t>Run the scraper in Codespaces to auto-fill 'Supplier_Intelligence'. Fix A: use multi-source crawling + Seed_URLs. Fix B: increase Max_Pages/Max_Items in Source_Config.</t>
        </is>
      </c>
    </row>
    <row r="4">
      <c r="A4" s="2" t="inlineStr">
        <is>
          <t>Categories</t>
        </is>
      </c>
      <c r="B4" t="inlineStr">
        <is>
          <t>Wound Care; Syringes &amp; Needles; IV Cannulas; IV Infusion Sets; Catheters; Gloves; PPE; Gauze &amp; Bandages; Disinfectants; Lab Consumables</t>
        </is>
      </c>
    </row>
    <row r="6">
      <c r="A6" s="2" t="inlineStr">
        <is>
          <t>Minimum acceptance rule</t>
        </is>
      </c>
      <c r="B6" t="inlineStr">
        <is>
          <t>Rows must have: Company + Email(s) + Country + Primary_Category + Evidence_URL.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3" customWidth="1" min="4" max="4"/>
    <col width="20" customWidth="1" min="5" max="5"/>
    <col width="28" customWidth="1" min="6" max="6"/>
    <col width="30" customWidth="1" min="7" max="7"/>
    <col width="28" customWidth="1" min="8" max="8"/>
    <col width="30" customWidth="1" min="9" max="9"/>
    <col width="16" customWidth="1" min="10" max="10"/>
    <col width="28" customWidth="1" min="11" max="11"/>
    <col width="18" customWidth="1" min="12" max="12"/>
    <col width="12" customWidth="1" min="13" max="13"/>
    <col width="18" customWidth="1" min="14" max="14"/>
    <col width="42" customWidth="1" min="15" max="15"/>
    <col width="26" customWidth="1" min="16" max="16"/>
    <col width="20" customWidth="1" min="17" max="17"/>
    <col width="10" customWidth="1" min="18" max="18"/>
    <col width="14" customWidth="1" min="19" max="19"/>
    <col width="18" customWidth="1" min="20" max="20"/>
    <col width="30" customWidth="1" min="21" max="21"/>
  </cols>
  <sheetData>
    <row r="1">
      <c r="A1" s="3" t="inlineStr">
        <is>
          <t>Supplier_ID</t>
        </is>
      </c>
      <c r="B1" s="3" t="inlineStr">
        <is>
          <t>Company</t>
        </is>
      </c>
      <c r="C1" s="3" t="inlineStr">
        <is>
          <t>Country</t>
        </is>
      </c>
      <c r="D1" s="3" t="inlineStr">
        <is>
          <t>Supplier_Type</t>
        </is>
      </c>
      <c r="E1" s="3" t="inlineStr">
        <is>
          <t>Primary_Category</t>
        </is>
      </c>
      <c r="F1" s="3" t="inlineStr">
        <is>
          <t>Secondary_Categories</t>
        </is>
      </c>
      <c r="G1" s="3" t="inlineStr">
        <is>
          <t>Product_Focus (free text)</t>
        </is>
      </c>
      <c r="H1" s="3" t="inlineStr">
        <is>
          <t>Website</t>
        </is>
      </c>
      <c r="I1" s="3" t="inlineStr">
        <is>
          <t>Email(s)</t>
        </is>
      </c>
      <c r="J1" s="3" t="inlineStr">
        <is>
          <t>Phone/WhatsApp</t>
        </is>
      </c>
      <c r="K1" s="3" t="inlineStr">
        <is>
          <t>Export_Experience (explicit)</t>
        </is>
      </c>
      <c r="L1" s="3" t="inlineStr">
        <is>
          <t>Cert_ISO13485_Claim</t>
        </is>
      </c>
      <c r="M1" s="3" t="inlineStr">
        <is>
          <t>Cert_CE_Claim</t>
        </is>
      </c>
      <c r="N1" s="3" t="inlineStr">
        <is>
          <t>Cert_Other (FDA/UKCA/etc.)</t>
        </is>
      </c>
      <c r="O1" s="3" t="inlineStr">
        <is>
          <t>Evidence_URL (email or cert claim page)</t>
        </is>
      </c>
      <c r="P1" s="3" t="inlineStr">
        <is>
          <t>Expected_Price_Range_USD (sanity check)</t>
        </is>
      </c>
      <c r="Q1" s="3" t="inlineStr">
        <is>
          <t>Risk_Score (0=low,100=high)</t>
        </is>
      </c>
      <c r="R1" s="3" t="inlineStr">
        <is>
          <t>Risk_Level</t>
        </is>
      </c>
      <c r="S1" s="3" t="inlineStr">
        <is>
          <t>Status</t>
        </is>
      </c>
      <c r="T1" s="3" t="inlineStr">
        <is>
          <t>Last_Checked</t>
        </is>
      </c>
      <c r="U1" s="3" t="inlineStr">
        <is>
          <t>Notes</t>
        </is>
      </c>
    </row>
    <row r="2">
      <c r="A2" t="n">
        <v>1</v>
      </c>
      <c r="B2" t="inlineStr">
        <is>
          <t>MAX Meditech Pvt. Ltd. - Leading Manufacturer of High-Quality Medical Devices for Mechanical Ventilation</t>
        </is>
      </c>
      <c r="C2" t="inlineStr"/>
      <c r="D2" t="inlineStr">
        <is>
          <t>Manufacturer</t>
        </is>
      </c>
      <c r="E2" t="inlineStr">
        <is>
          <t>PPE</t>
        </is>
      </c>
      <c r="F2" t="inlineStr">
        <is>
          <t>Wound Care, Lab Consumables, Syringes &amp; Needles, IV Infusion Sets, Gauze &amp; Bandages, Disinfectants, IV Cannulas, Catheters</t>
        </is>
      </c>
      <c r="G2" t="inlineStr"/>
      <c r="H2" t="inlineStr">
        <is>
          <t>https://www.medzell.net/main-categories-application/therapeutic-devices/</t>
        </is>
      </c>
      <c r="I2" t="inlineStr">
        <is>
          <t>jithu.t@maxventilator.com</t>
        </is>
      </c>
      <c r="L2" t="inlineStr">
        <is>
          <t>Stated</t>
        </is>
      </c>
      <c r="M2" t="inlineStr"/>
      <c r="N2" t="inlineStr">
        <is>
          <t>TUV</t>
        </is>
      </c>
      <c r="O2" t="inlineStr">
        <is>
          <t>https://www.medzell.net/company/a-b-industries/</t>
        </is>
      </c>
      <c r="Q2" t="n">
        <v>10</v>
      </c>
      <c r="R2">
        <f>IF(Q2="","",IF(Q2&gt;=60,"HIGH",IF(Q2&gt;=30,"MEDIUM","LOW")))</f>
        <v/>
      </c>
      <c r="S2" t="inlineStr">
        <is>
          <t>New</t>
        </is>
      </c>
      <c r="T2" t="inlineStr">
        <is>
          <t>2026-03-05</t>
        </is>
      </c>
      <c r="U2" t="inlineStr">
        <is>
          <t>Seed=Medzell; Seed-file: output/medzell_company_urls.txt</t>
        </is>
      </c>
    </row>
    <row r="3">
      <c r="A3" t="n">
        <v>2</v>
      </c>
      <c r="B3" t="inlineStr">
        <is>
          <t>Aadhar Medicare: Innovative Knee Supports, Body Belts, and Medical Devices</t>
        </is>
      </c>
      <c r="C3" t="inlineStr"/>
      <c r="D3" t="inlineStr">
        <is>
          <t>Manufacturer</t>
        </is>
      </c>
      <c r="E3" t="inlineStr">
        <is>
          <t>PPE</t>
        </is>
      </c>
      <c r="F3" t="inlineStr">
        <is>
          <t>Wound Care, Gauze &amp; Bandages, Lab Consumables, Syringes &amp; Needles, IV Infusion Sets, Disinfectants, IV Cannulas, Catheters</t>
        </is>
      </c>
      <c r="G3" t="inlineStr"/>
      <c r="H3" t="inlineStr">
        <is>
          <t>https://www.medzell.net/main-categories-application/therapeutic-devices/</t>
        </is>
      </c>
      <c r="I3" t="inlineStr">
        <is>
          <t>sales@aadharmedicare.com</t>
        </is>
      </c>
      <c r="L3" t="inlineStr"/>
      <c r="M3" t="inlineStr"/>
      <c r="N3" t="inlineStr">
        <is>
          <t>TUV</t>
        </is>
      </c>
      <c r="O3" t="inlineStr">
        <is>
          <t>https://www.medzell.net/company/aadhar-medicare-private-limited/</t>
        </is>
      </c>
      <c r="Q3" t="n">
        <v>25</v>
      </c>
      <c r="R3">
        <f>IF(Q3="","",IF(Q3&gt;=60,"HIGH",IF(Q3&gt;=30,"MEDIUM","LOW")))</f>
        <v/>
      </c>
      <c r="S3" t="inlineStr">
        <is>
          <t>New</t>
        </is>
      </c>
      <c r="T3" t="inlineStr">
        <is>
          <t>2026-03-05</t>
        </is>
      </c>
      <c r="U3" t="inlineStr">
        <is>
          <t>Seed=Medzell; Seed-file: output/medzell_company_urls.txt</t>
        </is>
      </c>
    </row>
    <row r="4">
      <c r="A4" t="n">
        <v>3</v>
      </c>
      <c r="B4" t="inlineStr">
        <is>
          <t>aap Implantate AG | Leading Global Medical Technology for Trauma Care</t>
        </is>
      </c>
      <c r="C4" t="inlineStr"/>
      <c r="D4" t="inlineStr">
        <is>
          <t>Manufacturer</t>
        </is>
      </c>
      <c r="E4" t="inlineStr">
        <is>
          <t>PPE</t>
        </is>
      </c>
      <c r="F4" t="inlineStr">
        <is>
          <t>Wound Care, Lab Consumables, Syringes &amp; Needles, IV Infusion Sets, Gauze &amp; Bandages, Disinfectants, IV Cannulas, Catheters</t>
        </is>
      </c>
      <c r="G4" t="inlineStr"/>
      <c r="H4" t="inlineStr">
        <is>
          <t>https://www.medzell.net/main-categories-application/therapeutic-devices/</t>
        </is>
      </c>
      <c r="I4" t="inlineStr">
        <is>
          <t>r.behrens@aap.de</t>
        </is>
      </c>
      <c r="L4" t="inlineStr"/>
      <c r="M4" t="inlineStr"/>
      <c r="N4" t="inlineStr">
        <is>
          <t>FDA, TUV</t>
        </is>
      </c>
      <c r="O4" t="inlineStr">
        <is>
          <t>https://www.medzell.net/company/aap-implantate-ag/</t>
        </is>
      </c>
      <c r="Q4" t="n">
        <v>25</v>
      </c>
      <c r="R4">
        <f>IF(Q4="","",IF(Q4&gt;=60,"HIGH",IF(Q4&gt;=30,"MEDIUM","LOW")))</f>
        <v/>
      </c>
      <c r="S4" t="inlineStr">
        <is>
          <t>New</t>
        </is>
      </c>
      <c r="T4" t="inlineStr">
        <is>
          <t>2026-03-05</t>
        </is>
      </c>
      <c r="U4" t="inlineStr">
        <is>
          <t>Seed=Medzell; Seed-file: output/medzell_company_urls.txt</t>
        </is>
      </c>
    </row>
    <row r="5">
      <c r="A5" t="n">
        <v>4</v>
      </c>
      <c r="B5" t="inlineStr">
        <is>
          <t>Revolutionary Post-Mastectomy Care Solutions | Aarna Biomedical Products Private Limited</t>
        </is>
      </c>
      <c r="C5" t="inlineStr"/>
      <c r="D5" t="inlineStr">
        <is>
          <t>Manufacturer</t>
        </is>
      </c>
      <c r="E5" t="inlineStr">
        <is>
          <t>PPE</t>
        </is>
      </c>
      <c r="F5" t="inlineStr">
        <is>
          <t>Wound Care, Lab Consumables, Syringes &amp; Needles, IV Infusion Sets, Gauze &amp; Bandages, Disinfectants, IV Cannulas, Catheters</t>
        </is>
      </c>
      <c r="G5" t="inlineStr"/>
      <c r="H5" t="inlineStr">
        <is>
          <t>https://www.medzell.net/main-categories-application/therapeutic-devices/</t>
        </is>
      </c>
      <c r="I5" t="inlineStr">
        <is>
          <t>pawan.paterson@gmail.com</t>
        </is>
      </c>
      <c r="L5" t="inlineStr">
        <is>
          <t>Stated</t>
        </is>
      </c>
      <c r="M5" t="inlineStr"/>
      <c r="N5" t="inlineStr">
        <is>
          <t>TUV</t>
        </is>
      </c>
      <c r="O5" t="inlineStr">
        <is>
          <t>https://www.medzell.net/company/aarna-biomedical-products-private-limited/</t>
        </is>
      </c>
      <c r="Q5" t="n">
        <v>30</v>
      </c>
      <c r="R5">
        <f>IF(Q5="","",IF(Q5&gt;=60,"HIGH",IF(Q5&gt;=30,"MEDIUM","LOW")))</f>
        <v/>
      </c>
      <c r="S5" t="inlineStr">
        <is>
          <t>New</t>
        </is>
      </c>
      <c r="T5" t="inlineStr">
        <is>
          <t>2026-03-05</t>
        </is>
      </c>
      <c r="U5" t="inlineStr">
        <is>
          <t>Seed=Medzell; Seed-file: output/medzell_company_urls.txt</t>
        </is>
      </c>
    </row>
    <row r="6">
      <c r="A6" t="n">
        <v>5</v>
      </c>
      <c r="B6" t="inlineStr">
        <is>
          <t>Accurex Biomedical Pvt. Ltd. - Leading Manufacturer of High-Quality Medical Diagnostic Solutions</t>
        </is>
      </c>
      <c r="C6" t="inlineStr"/>
      <c r="D6" t="inlineStr">
        <is>
          <t>Manufacturer</t>
        </is>
      </c>
      <c r="E6" t="inlineStr">
        <is>
          <t>PPE</t>
        </is>
      </c>
      <c r="F6" t="inlineStr">
        <is>
          <t>Wound Care, Lab Consumables, Syringes &amp; Needles, IV Infusion Sets, Gauze &amp; Bandages, Disinfectants, IV Cannulas, Catheters</t>
        </is>
      </c>
      <c r="G6" t="inlineStr"/>
      <c r="H6" t="inlineStr">
        <is>
          <t>https://www.medzell.net/main-categories-application/therapeutic-devices/</t>
        </is>
      </c>
      <c r="I6" t="inlineStr">
        <is>
          <t>online1@accurex.net</t>
        </is>
      </c>
      <c r="L6" t="inlineStr"/>
      <c r="M6" t="inlineStr"/>
      <c r="N6" t="inlineStr">
        <is>
          <t>TUV</t>
        </is>
      </c>
      <c r="O6" t="inlineStr">
        <is>
          <t>https://www.medzell.net/company/accurex-biomedical-pvt-ltd/</t>
        </is>
      </c>
      <c r="Q6" t="n">
        <v>25</v>
      </c>
      <c r="R6">
        <f>IF(Q6="","",IF(Q6&gt;=60,"HIGH",IF(Q6&gt;=30,"MEDIUM","LOW")))</f>
        <v/>
      </c>
      <c r="S6" t="inlineStr">
        <is>
          <t>New</t>
        </is>
      </c>
      <c r="T6" t="inlineStr">
        <is>
          <t>2026-03-05</t>
        </is>
      </c>
      <c r="U6" t="inlineStr">
        <is>
          <t>Seed=Medzell; Seed-file: output/medzell_company_urls.txt</t>
        </is>
      </c>
    </row>
    <row r="7">
      <c r="A7" t="n">
        <v>6</v>
      </c>
      <c r="B7" t="inlineStr">
        <is>
          <t>Ace Cathtech – Indian Manufacturer of Catheterization, Nephrology &amp; Critical Care Devices</t>
        </is>
      </c>
      <c r="C7" t="inlineStr"/>
      <c r="D7" t="inlineStr">
        <is>
          <t>Manufacturer</t>
        </is>
      </c>
      <c r="E7" t="inlineStr">
        <is>
          <t>PPE</t>
        </is>
      </c>
      <c r="F7" t="inlineStr">
        <is>
          <t>Wound Care, Lab Consumables, Syringes &amp; Needles, IV Infusion Sets, Gauze &amp; Bandages, Disinfectants, IV Cannulas, Catheters</t>
        </is>
      </c>
      <c r="G7" t="inlineStr"/>
      <c r="H7" t="inlineStr">
        <is>
          <t>https://www.medzell.net/main-categories-application/therapeutic-devices/</t>
        </is>
      </c>
      <c r="I7" t="inlineStr">
        <is>
          <t>puneet.dohan1001@gmail.com</t>
        </is>
      </c>
      <c r="L7" t="inlineStr">
        <is>
          <t>Stated</t>
        </is>
      </c>
      <c r="M7" t="inlineStr"/>
      <c r="N7" t="inlineStr">
        <is>
          <t>FDA, TUV</t>
        </is>
      </c>
      <c r="O7" t="inlineStr">
        <is>
          <t>https://www.medzell.net/company/ace-cathtech-pvt-ltd/</t>
        </is>
      </c>
      <c r="Q7" t="n">
        <v>30</v>
      </c>
      <c r="R7">
        <f>IF(Q7="","",IF(Q7&gt;=60,"HIGH",IF(Q7&gt;=30,"MEDIUM","LOW")))</f>
        <v/>
      </c>
      <c r="S7" t="inlineStr">
        <is>
          <t>New</t>
        </is>
      </c>
      <c r="T7" t="inlineStr">
        <is>
          <t>2026-03-05</t>
        </is>
      </c>
      <c r="U7" t="inlineStr">
        <is>
          <t>Seed=Medzell; Seed-file: output/medzell_company_urls.txt</t>
        </is>
      </c>
    </row>
    <row r="8">
      <c r="A8" t="n">
        <v>7</v>
      </c>
      <c r="B8" t="inlineStr">
        <is>
          <t>High-Quality Surgical Disposables, Hospital/Pharma Disposable Wear, and Cosmetic Products - Acuron Products</t>
        </is>
      </c>
      <c r="C8" t="inlineStr"/>
      <c r="D8" t="inlineStr">
        <is>
          <t>Manufacturer</t>
        </is>
      </c>
      <c r="E8" t="inlineStr">
        <is>
          <t>PPE</t>
        </is>
      </c>
      <c r="F8" t="inlineStr">
        <is>
          <t>Wound Care, Lab Consumables, Syringes &amp; Needles, IV Infusion Sets, Gauze &amp; Bandages, Disinfectants, IV Cannulas, Catheters</t>
        </is>
      </c>
      <c r="G8" t="inlineStr"/>
      <c r="H8" t="inlineStr">
        <is>
          <t>https://www.medzell.net/main-categories-application/therapeutic-devices/</t>
        </is>
      </c>
      <c r="I8" t="inlineStr">
        <is>
          <t>acuronmarketing@gmail.com</t>
        </is>
      </c>
      <c r="L8" t="inlineStr"/>
      <c r="M8" t="inlineStr"/>
      <c r="N8" t="inlineStr">
        <is>
          <t>TUV</t>
        </is>
      </c>
      <c r="O8" t="inlineStr">
        <is>
          <t>https://www.medzell.net/company/acuron-products/</t>
        </is>
      </c>
      <c r="Q8" t="n">
        <v>45</v>
      </c>
      <c r="R8">
        <f>IF(Q8="","",IF(Q8&gt;=60,"HIGH",IF(Q8&gt;=30,"MEDIUM","LOW")))</f>
        <v/>
      </c>
      <c r="S8" t="inlineStr">
        <is>
          <t>New</t>
        </is>
      </c>
      <c r="T8" t="inlineStr">
        <is>
          <t>2026-03-05</t>
        </is>
      </c>
      <c r="U8" t="inlineStr">
        <is>
          <t>Seed=Medzell; Seed-file: output/medzell_company_urls.txt</t>
        </is>
      </c>
    </row>
    <row r="9">
      <c r="A9" t="n">
        <v>8</v>
      </c>
      <c r="B9" t="inlineStr">
        <is>
          <t>Adonis Medical Systems: Quality Imaging Solutions</t>
        </is>
      </c>
      <c r="C9" t="inlineStr"/>
      <c r="D9" t="inlineStr">
        <is>
          <t>Manufacturer</t>
        </is>
      </c>
      <c r="E9" t="inlineStr">
        <is>
          <t>PPE</t>
        </is>
      </c>
      <c r="F9" t="inlineStr">
        <is>
          <t>Wound Care, Lab Consumables, Syringes &amp; Needles, IV Infusion Sets, Gauze &amp; Bandages, Disinfectants, IV Cannulas, Catheters</t>
        </is>
      </c>
      <c r="G9" t="inlineStr"/>
      <c r="H9" t="inlineStr">
        <is>
          <t>https://www.medzell.net/main-categories-application/therapeutic-devices/</t>
        </is>
      </c>
      <c r="I9" t="inlineStr">
        <is>
          <t>support@adonismedical.com</t>
        </is>
      </c>
      <c r="L9" t="inlineStr">
        <is>
          <t>Stated</t>
        </is>
      </c>
      <c r="M9" t="inlineStr"/>
      <c r="N9" t="inlineStr">
        <is>
          <t>TUV</t>
        </is>
      </c>
      <c r="O9" t="inlineStr">
        <is>
          <t>https://www.medzell.net/company/adonis-medical-systems-private-limited/</t>
        </is>
      </c>
      <c r="Q9" t="n">
        <v>10</v>
      </c>
      <c r="R9">
        <f>IF(Q9="","",IF(Q9&gt;=60,"HIGH",IF(Q9&gt;=30,"MEDIUM","LOW")))</f>
        <v/>
      </c>
      <c r="S9" t="inlineStr">
        <is>
          <t>New</t>
        </is>
      </c>
      <c r="T9" t="inlineStr">
        <is>
          <t>2026-03-05</t>
        </is>
      </c>
      <c r="U9" t="inlineStr">
        <is>
          <t>Seed=Medzell; Seed-file: output/medzell_company_urls.txt</t>
        </is>
      </c>
    </row>
    <row r="10">
      <c r="A10" t="n">
        <v>9</v>
      </c>
      <c r="B10" t="inlineStr">
        <is>
          <t>Adva Medical: Innovative Surgical Products for Healthcare Professionals</t>
        </is>
      </c>
      <c r="C10" t="inlineStr"/>
      <c r="D10" t="inlineStr">
        <is>
          <t>Manufacturer</t>
        </is>
      </c>
      <c r="E10" t="inlineStr">
        <is>
          <t>PPE</t>
        </is>
      </c>
      <c r="F10" t="inlineStr">
        <is>
          <t>Wound Care, Lab Consumables, Syringes &amp; Needles, IV Infusion Sets, Gauze &amp; Bandages, Disinfectants, IV Cannulas, Catheters</t>
        </is>
      </c>
      <c r="G10" t="inlineStr"/>
      <c r="H10" t="inlineStr">
        <is>
          <t>https://www.medzell.net/main-categories-application/therapeutic-devices/</t>
        </is>
      </c>
      <c r="I10" t="inlineStr">
        <is>
          <t>nazish.advamedical@gmail.com</t>
        </is>
      </c>
      <c r="L10" t="inlineStr">
        <is>
          <t>Stated</t>
        </is>
      </c>
      <c r="M10" t="inlineStr">
        <is>
          <t>Stated</t>
        </is>
      </c>
      <c r="N10" t="inlineStr">
        <is>
          <t>GMP, TUV</t>
        </is>
      </c>
      <c r="O10" t="inlineStr">
        <is>
          <t>https://www.medzell.net/company/adva-medical-india-pvt-ltd/</t>
        </is>
      </c>
      <c r="Q10" t="n">
        <v>20</v>
      </c>
      <c r="R10">
        <f>IF(Q10="","",IF(Q10&gt;=60,"HIGH",IF(Q10&gt;=30,"MEDIUM","LOW")))</f>
        <v/>
      </c>
      <c r="S10" t="inlineStr">
        <is>
          <t>New</t>
        </is>
      </c>
      <c r="T10" t="inlineStr">
        <is>
          <t>2026-03-05</t>
        </is>
      </c>
      <c r="U10" t="inlineStr">
        <is>
          <t>Seed=Medzell; Seed-file: output/medzell_company_urls.txt</t>
        </is>
      </c>
    </row>
    <row r="11">
      <c r="A11" t="n">
        <v>10</v>
      </c>
      <c r="B11" t="inlineStr">
        <is>
          <t>Premier Manufacturer and Global Supplier of NICU Equipment in India - Advance Mediplus Pvt. Ltd.</t>
        </is>
      </c>
      <c r="C11" t="inlineStr"/>
      <c r="D11" t="inlineStr">
        <is>
          <t>Manufacturer</t>
        </is>
      </c>
      <c r="E11" t="inlineStr">
        <is>
          <t>PPE</t>
        </is>
      </c>
      <c r="F11" t="inlineStr">
        <is>
          <t>Wound Care, Lab Consumables, Syringes &amp; Needles, IV Infusion Sets, Gauze &amp; Bandages, Disinfectants, IV Cannulas, Catheters</t>
        </is>
      </c>
      <c r="G11" t="inlineStr"/>
      <c r="H11" t="inlineStr">
        <is>
          <t>https://www.medzell.net/main-categories-application/therapeutic-devices/</t>
        </is>
      </c>
      <c r="I11" t="inlineStr">
        <is>
          <t>contact@advancemedi.com</t>
        </is>
      </c>
      <c r="L11" t="inlineStr">
        <is>
          <t>Stated</t>
        </is>
      </c>
      <c r="M11" t="inlineStr"/>
      <c r="N11" t="inlineStr">
        <is>
          <t>TUV</t>
        </is>
      </c>
      <c r="O11" t="inlineStr">
        <is>
          <t>https://www.medzell.net/company/advance-mediplus-pvt-ltd/</t>
        </is>
      </c>
      <c r="Q11" t="n">
        <v>10</v>
      </c>
      <c r="R11">
        <f>IF(Q11="","",IF(Q11&gt;=60,"HIGH",IF(Q11&gt;=30,"MEDIUM","LOW")))</f>
        <v/>
      </c>
      <c r="S11" t="inlineStr">
        <is>
          <t>New</t>
        </is>
      </c>
      <c r="T11" t="inlineStr">
        <is>
          <t>2026-03-05</t>
        </is>
      </c>
      <c r="U11" t="inlineStr">
        <is>
          <t>Seed=Medzell; Seed-file: output/medzell_company_urls.txt</t>
        </is>
      </c>
    </row>
    <row r="12">
      <c r="A12" t="n">
        <v>11</v>
      </c>
      <c r="B12" t="inlineStr">
        <is>
          <t>Discover Advanced LifeSciences Pvt. Ltd.: Pioneering B2B Manufacturer Bringing New Medical Technologies to the Indian Market</t>
        </is>
      </c>
      <c r="C12" t="inlineStr"/>
      <c r="D12" t="inlineStr">
        <is>
          <t>Manufacturer</t>
        </is>
      </c>
      <c r="E12" t="inlineStr">
        <is>
          <t>PPE</t>
        </is>
      </c>
      <c r="F12" t="inlineStr">
        <is>
          <t>Wound Care, Lab Consumables, Syringes &amp; Needles, IV Infusion Sets, Gauze &amp; Bandages, Disinfectants, IV Cannulas, Catheters</t>
        </is>
      </c>
      <c r="G12" t="inlineStr"/>
      <c r="H12" t="inlineStr">
        <is>
          <t>https://www.medzell.net/main-categories-application/therapeutic-devices/</t>
        </is>
      </c>
      <c r="I12" t="inlineStr">
        <is>
          <t>sales@alspl.com</t>
        </is>
      </c>
      <c r="L12" t="inlineStr">
        <is>
          <t>Stated</t>
        </is>
      </c>
      <c r="M12" t="inlineStr">
        <is>
          <t>Stated</t>
        </is>
      </c>
      <c r="N12" t="inlineStr">
        <is>
          <t>TUV</t>
        </is>
      </c>
      <c r="O12" t="inlineStr">
        <is>
          <t>https://www.medzell.net/company/advanced-lifesciences-pvt-ltd/</t>
        </is>
      </c>
      <c r="Q12" t="n">
        <v>0</v>
      </c>
      <c r="R12">
        <f>IF(Q12="","",IF(Q12&gt;=60,"HIGH",IF(Q12&gt;=30,"MEDIUM","LOW")))</f>
        <v/>
      </c>
      <c r="S12" t="inlineStr">
        <is>
          <t>New</t>
        </is>
      </c>
      <c r="T12" t="inlineStr">
        <is>
          <t>2026-03-05</t>
        </is>
      </c>
      <c r="U12" t="inlineStr">
        <is>
          <t>Seed=Medzell; Seed-file: output/medzell_company_urls.txt</t>
        </is>
      </c>
    </row>
    <row r="13">
      <c r="A13" t="n">
        <v>12</v>
      </c>
      <c r="B13" t="inlineStr">
        <is>
          <t>Leading Global Manufacturer of Affordable and Accessible Medical Devices - Advanced MedTech Solutions Pvt. Ltd.</t>
        </is>
      </c>
      <c r="C13" t="inlineStr"/>
      <c r="D13" t="inlineStr">
        <is>
          <t>Manufacturer</t>
        </is>
      </c>
      <c r="E13" t="inlineStr">
        <is>
          <t>PPE</t>
        </is>
      </c>
      <c r="F13" t="inlineStr">
        <is>
          <t>Wound Care, Lab Consumables, Syringes &amp; Needles, IV Infusion Sets, Gauze &amp; Bandages, Disinfectants, IV Cannulas, Catheters</t>
        </is>
      </c>
      <c r="G13" t="inlineStr"/>
      <c r="H13" t="inlineStr">
        <is>
          <t>https://www.medzell.net/main-categories-application/therapeutic-devices/</t>
        </is>
      </c>
      <c r="I13" t="inlineStr">
        <is>
          <t>shreenivass@amsltd.com</t>
        </is>
      </c>
      <c r="L13" t="inlineStr">
        <is>
          <t>Stated</t>
        </is>
      </c>
      <c r="M13" t="inlineStr"/>
      <c r="N13" t="inlineStr">
        <is>
          <t>FDA, TUV</t>
        </is>
      </c>
      <c r="O13" t="inlineStr">
        <is>
          <t>https://www.medzell.net/company/advanced-medtech-solutions-pvt-ltd/</t>
        </is>
      </c>
      <c r="Q13" t="n">
        <v>10</v>
      </c>
      <c r="R13">
        <f>IF(Q13="","",IF(Q13&gt;=60,"HIGH",IF(Q13&gt;=30,"MEDIUM","LOW")))</f>
        <v/>
      </c>
      <c r="S13" t="inlineStr">
        <is>
          <t>New</t>
        </is>
      </c>
      <c r="T13" t="inlineStr">
        <is>
          <t>2026-03-05</t>
        </is>
      </c>
      <c r="U13" t="inlineStr">
        <is>
          <t>Seed=Medzell; Seed-file: output/medzell_company_urls.txt</t>
        </is>
      </c>
    </row>
    <row r="14">
      <c r="A14" t="n">
        <v>13</v>
      </c>
      <c r="B14" t="inlineStr">
        <is>
          <t>Advin Health Care – Global Manufacturer of Urology, Laparoscopy, Gynecology, Nephrology, Cardiology &amp; Gastrology Devices</t>
        </is>
      </c>
      <c r="C14" t="inlineStr"/>
      <c r="D14" t="inlineStr">
        <is>
          <t>Manufacturer</t>
        </is>
      </c>
      <c r="E14" t="inlineStr">
        <is>
          <t>PPE</t>
        </is>
      </c>
      <c r="F14" t="inlineStr">
        <is>
          <t>Wound Care, Lab Consumables, Syringes &amp; Needles, IV Infusion Sets, Catheters, Gauze &amp; Bandages, Disinfectants, IV Cannulas</t>
        </is>
      </c>
      <c r="G14" t="inlineStr"/>
      <c r="H14" t="inlineStr">
        <is>
          <t>https://www.medzell.net/main-categories-application/therapeutic-devices/</t>
        </is>
      </c>
      <c r="I14" t="inlineStr">
        <is>
          <t>advinhealthcare@gmail.com</t>
        </is>
      </c>
      <c r="L14" t="inlineStr">
        <is>
          <t>Stated</t>
        </is>
      </c>
      <c r="M14" t="inlineStr"/>
      <c r="N14" t="inlineStr">
        <is>
          <t>TUV</t>
        </is>
      </c>
      <c r="O14" t="inlineStr">
        <is>
          <t>https://www.medzell.net/company/advin-health-care/</t>
        </is>
      </c>
      <c r="Q14" t="n">
        <v>30</v>
      </c>
      <c r="R14">
        <f>IF(Q14="","",IF(Q14&gt;=60,"HIGH",IF(Q14&gt;=30,"MEDIUM","LOW")))</f>
        <v/>
      </c>
      <c r="S14" t="inlineStr">
        <is>
          <t>New</t>
        </is>
      </c>
      <c r="T14" t="inlineStr">
        <is>
          <t>2026-03-05</t>
        </is>
      </c>
      <c r="U14" t="inlineStr">
        <is>
          <t>Seed=Medzell; Seed-file: output/medzell_company_urls.txt</t>
        </is>
      </c>
    </row>
    <row r="15">
      <c r="A15" t="n">
        <v>14</v>
      </c>
      <c r="B15" t="inlineStr">
        <is>
          <t>Aegis Lifesciences – Global Leader in Haemostatic &amp; Surgical Medical Devices</t>
        </is>
      </c>
      <c r="C15" t="inlineStr"/>
      <c r="D15" t="inlineStr">
        <is>
          <t>Manufacturer</t>
        </is>
      </c>
      <c r="E15" t="inlineStr">
        <is>
          <t>PPE</t>
        </is>
      </c>
      <c r="F15" t="inlineStr">
        <is>
          <t>Wound Care, Lab Consumables, Syringes &amp; Needles, IV Infusion Sets, Gauze &amp; Bandages, Disinfectants, IV Cannulas, Catheters</t>
        </is>
      </c>
      <c r="G15" t="inlineStr"/>
      <c r="H15" t="inlineStr">
        <is>
          <t>https://www.medzell.net/main-categories-application/therapeutic-devices/</t>
        </is>
      </c>
      <c r="I15" t="inlineStr">
        <is>
          <t>marketing.d@aegis-lifesciences.com</t>
        </is>
      </c>
      <c r="L15" t="inlineStr">
        <is>
          <t>Stated</t>
        </is>
      </c>
      <c r="M15" t="inlineStr">
        <is>
          <t>Stated</t>
        </is>
      </c>
      <c r="N15" t="inlineStr">
        <is>
          <t>FDA, GMP, TUV</t>
        </is>
      </c>
      <c r="O15" t="inlineStr">
        <is>
          <t>https://www.medzell.net/company/aegis-lifesciences-pvt-ltd/</t>
        </is>
      </c>
      <c r="Q15" t="n">
        <v>0</v>
      </c>
      <c r="R15">
        <f>IF(Q15="","",IF(Q15&gt;=60,"HIGH",IF(Q15&gt;=30,"MEDIUM","LOW")))</f>
        <v/>
      </c>
      <c r="S15" t="inlineStr">
        <is>
          <t>New</t>
        </is>
      </c>
      <c r="T15" t="inlineStr">
        <is>
          <t>2026-03-05</t>
        </is>
      </c>
      <c r="U15" t="inlineStr">
        <is>
          <t>Seed=Medzell; Seed-file: output/medzell_company_urls.txt</t>
        </is>
      </c>
    </row>
    <row r="16">
      <c r="A16" t="n">
        <v>15</v>
      </c>
      <c r="B16" t="inlineStr">
        <is>
          <t>Aether Biomedical | Advancing Bionic Prosthetics with Cutting-Edge Technology</t>
        </is>
      </c>
      <c r="C16" t="inlineStr"/>
      <c r="D16" t="inlineStr">
        <is>
          <t>Manufacturer</t>
        </is>
      </c>
      <c r="E16" t="inlineStr">
        <is>
          <t>PPE</t>
        </is>
      </c>
      <c r="F16" t="inlineStr">
        <is>
          <t>Wound Care, Lab Consumables, Syringes &amp; Needles, IV Infusion Sets, Gauze &amp; Bandages, Disinfectants, IV Cannulas, Catheters</t>
        </is>
      </c>
      <c r="G16" t="inlineStr"/>
      <c r="H16" t="inlineStr">
        <is>
          <t>https://www.medzell.net/main-categories-application/therapeutic-devices/</t>
        </is>
      </c>
      <c r="I16" t="inlineStr">
        <is>
          <t>faith@aetherbiomedical.com</t>
        </is>
      </c>
      <c r="L16" t="inlineStr">
        <is>
          <t>Stated</t>
        </is>
      </c>
      <c r="M16" t="inlineStr"/>
      <c r="N16" t="inlineStr">
        <is>
          <t>FDA, TUV</t>
        </is>
      </c>
      <c r="O16" t="inlineStr">
        <is>
          <t>https://www.medzell.net/company/aether-biomedical-sp-zo-o-prosthetics/</t>
        </is>
      </c>
      <c r="Q16" t="n">
        <v>10</v>
      </c>
      <c r="R16">
        <f>IF(Q16="","",IF(Q16&gt;=60,"HIGH",IF(Q16&gt;=30,"MEDIUM","LOW")))</f>
        <v/>
      </c>
      <c r="S16" t="inlineStr">
        <is>
          <t>New</t>
        </is>
      </c>
      <c r="T16" t="inlineStr">
        <is>
          <t>2026-03-05</t>
        </is>
      </c>
      <c r="U16" t="inlineStr">
        <is>
          <t>Seed=Medzell; Seed-file: output/medzell_company_urls.txt</t>
        </is>
      </c>
    </row>
    <row r="17">
      <c r="A17" t="n">
        <v>16</v>
      </c>
      <c r="B17" t="inlineStr">
        <is>
          <t>Affigenix Biosolutions Pvt. Ltd.: Tailored Biosolutions for Life Science and Diagnostics Sectors in India</t>
        </is>
      </c>
      <c r="C17" t="inlineStr"/>
      <c r="D17" t="inlineStr">
        <is>
          <t>Manufacturer</t>
        </is>
      </c>
      <c r="E17" t="inlineStr">
        <is>
          <t>PPE</t>
        </is>
      </c>
      <c r="F17" t="inlineStr">
        <is>
          <t>Wound Care, Lab Consumables, Syringes &amp; Needles, IV Infusion Sets, Gauze &amp; Bandages, Disinfectants, IV Cannulas, Catheters</t>
        </is>
      </c>
      <c r="G17" t="inlineStr"/>
      <c r="H17" t="inlineStr">
        <is>
          <t>https://www.medzell.net/main-categories-application/therapeutic-devices/</t>
        </is>
      </c>
      <c r="I17" t="inlineStr">
        <is>
          <t>sales@affigenix.com</t>
        </is>
      </c>
      <c r="L17" t="inlineStr">
        <is>
          <t>Stated</t>
        </is>
      </c>
      <c r="M17" t="inlineStr"/>
      <c r="N17" t="inlineStr">
        <is>
          <t>TUV</t>
        </is>
      </c>
      <c r="O17" t="inlineStr">
        <is>
          <t>https://www.medzell.net/company/affigenix-biosolutions-private-limited/</t>
        </is>
      </c>
      <c r="Q17" t="n">
        <v>10</v>
      </c>
      <c r="R17">
        <f>IF(Q17="","",IF(Q17&gt;=60,"HIGH",IF(Q17&gt;=30,"MEDIUM","LOW")))</f>
        <v/>
      </c>
      <c r="S17" t="inlineStr">
        <is>
          <t>New</t>
        </is>
      </c>
      <c r="T17" t="inlineStr">
        <is>
          <t>2026-03-05</t>
        </is>
      </c>
      <c r="U17" t="inlineStr">
        <is>
          <t>Seed=Medzell; Seed-file: output/medzell_company_urls.txt</t>
        </is>
      </c>
    </row>
    <row r="18">
      <c r="A18" t="n">
        <v>17</v>
      </c>
      <c r="B18" t="inlineStr">
        <is>
          <t>Agappe Diagnostics: Global Leader in In-Vitro Diagnostics | ISO Certified Manufacturer</t>
        </is>
      </c>
      <c r="C18" t="inlineStr"/>
      <c r="D18" t="inlineStr">
        <is>
          <t>Manufacturer</t>
        </is>
      </c>
      <c r="E18" t="inlineStr">
        <is>
          <t>PPE</t>
        </is>
      </c>
      <c r="F18" t="inlineStr">
        <is>
          <t>Wound Care, Lab Consumables, Syringes &amp; Needles, IV Infusion Sets, Gauze &amp; Bandages, Disinfectants, IV Cannulas, Catheters</t>
        </is>
      </c>
      <c r="G18" t="inlineStr"/>
      <c r="H18" t="inlineStr">
        <is>
          <t>https://www.medzell.net/main-categories-application/therapeutic-devices/</t>
        </is>
      </c>
      <c r="I18" t="inlineStr">
        <is>
          <t>sreevisakh.kl@agappe.in</t>
        </is>
      </c>
      <c r="L18" t="inlineStr">
        <is>
          <t>Stated</t>
        </is>
      </c>
      <c r="M18" t="inlineStr"/>
      <c r="N18" t="inlineStr">
        <is>
          <t>FDA, GMP, TUV</t>
        </is>
      </c>
      <c r="O18" t="inlineStr">
        <is>
          <t>https://www.medzell.net/company/agappe-diagnostics-limited/</t>
        </is>
      </c>
      <c r="Q18" t="n">
        <v>10</v>
      </c>
      <c r="R18">
        <f>IF(Q18="","",IF(Q18&gt;=60,"HIGH",IF(Q18&gt;=30,"MEDIUM","LOW")))</f>
        <v/>
      </c>
      <c r="S18" t="inlineStr">
        <is>
          <t>New</t>
        </is>
      </c>
      <c r="T18" t="inlineStr">
        <is>
          <t>2026-03-05</t>
        </is>
      </c>
      <c r="U18" t="inlineStr">
        <is>
          <t>Seed=Medzell; Seed-file: output/medzell_company_urls.txt</t>
        </is>
      </c>
    </row>
    <row r="19">
      <c r="A19" t="n">
        <v>18</v>
      </c>
      <c r="B19" t="inlineStr">
        <is>
          <t>AGD Biomedicals Pvt Ltd: Leading Manufacturer of Laboratory and IVD Equipment</t>
        </is>
      </c>
      <c r="C19" t="inlineStr"/>
      <c r="D19" t="inlineStr">
        <is>
          <t>Manufacturer</t>
        </is>
      </c>
      <c r="E19" t="inlineStr">
        <is>
          <t>PPE</t>
        </is>
      </c>
      <c r="F19" t="inlineStr">
        <is>
          <t>Wound Care, Lab Consumables, Syringes &amp; Needles, IV Infusion Sets, Gauze &amp; Bandages, Disinfectants, IV Cannulas, Catheters</t>
        </is>
      </c>
      <c r="G19" t="inlineStr"/>
      <c r="H19" t="inlineStr">
        <is>
          <t>https://www.medzell.net/main-categories-application/therapeutic-devices/</t>
        </is>
      </c>
      <c r="I19" t="inlineStr">
        <is>
          <t>prabhat.sk77@gmail.com</t>
        </is>
      </c>
      <c r="L19" t="inlineStr">
        <is>
          <t>Stated</t>
        </is>
      </c>
      <c r="M19" t="inlineStr"/>
      <c r="N19" t="inlineStr">
        <is>
          <t>TUV</t>
        </is>
      </c>
      <c r="O19" t="inlineStr">
        <is>
          <t>https://www.medzell.net/company/agd-biomedicals-pvt-ltd/</t>
        </is>
      </c>
      <c r="Q19" t="n">
        <v>30</v>
      </c>
      <c r="R19">
        <f>IF(Q19="","",IF(Q19&gt;=60,"HIGH",IF(Q19&gt;=30,"MEDIUM","LOW")))</f>
        <v/>
      </c>
      <c r="S19" t="inlineStr">
        <is>
          <t>New</t>
        </is>
      </c>
      <c r="T19" t="inlineStr">
        <is>
          <t>2026-03-05</t>
        </is>
      </c>
      <c r="U19" t="inlineStr">
        <is>
          <t>Seed=Medzell; Seed-file: output/medzell_company_urls.txt</t>
        </is>
      </c>
    </row>
    <row r="20">
      <c r="A20" t="n">
        <v>19</v>
      </c>
      <c r="B20" t="inlineStr">
        <is>
          <t>AI-OPTIC | Innovating Vision Screening with AI-Powered Technology</t>
        </is>
      </c>
      <c r="C20" t="inlineStr"/>
      <c r="D20" t="inlineStr">
        <is>
          <t>Manufacturer</t>
        </is>
      </c>
      <c r="E20" t="inlineStr">
        <is>
          <t>PPE</t>
        </is>
      </c>
      <c r="F20" t="inlineStr">
        <is>
          <t>Wound Care, Lab Consumables, Syringes &amp; Needles, IV Infusion Sets, Gauze &amp; Bandages, Disinfectants, IV Cannulas, Catheters</t>
        </is>
      </c>
      <c r="G20" t="inlineStr"/>
      <c r="H20" t="inlineStr">
        <is>
          <t>https://www.medzell.net/main-categories-application/therapeutic-devices/</t>
        </is>
      </c>
      <c r="I20" t="inlineStr">
        <is>
          <t>helen@ai-optic.com</t>
        </is>
      </c>
      <c r="L20" t="inlineStr">
        <is>
          <t>Stated</t>
        </is>
      </c>
      <c r="M20" t="inlineStr"/>
      <c r="N20" t="inlineStr">
        <is>
          <t>FDA, TUV</t>
        </is>
      </c>
      <c r="O20" t="inlineStr">
        <is>
          <t>https://www.medzell.net/company/ai-optic/</t>
        </is>
      </c>
      <c r="Q20" t="n">
        <v>10</v>
      </c>
      <c r="R20">
        <f>IF(Q20="","",IF(Q20&gt;=60,"HIGH",IF(Q20&gt;=30,"MEDIUM","LOW")))</f>
        <v/>
      </c>
      <c r="S20" t="inlineStr">
        <is>
          <t>New</t>
        </is>
      </c>
      <c r="T20" t="inlineStr">
        <is>
          <t>2026-03-05</t>
        </is>
      </c>
      <c r="U20" t="inlineStr">
        <is>
          <t>Seed=Medzell; Seed-file: output/medzell_company_urls.txt</t>
        </is>
      </c>
    </row>
    <row r="21">
      <c r="A21" t="n">
        <v>20</v>
      </c>
      <c r="B21" t="inlineStr">
        <is>
          <t>Aidlab - Empowering Remote Health, Fitness, and Science with Advanced Wearables</t>
        </is>
      </c>
      <c r="C21" t="inlineStr"/>
      <c r="D21" t="inlineStr">
        <is>
          <t>Manufacturer</t>
        </is>
      </c>
      <c r="E21" t="inlineStr">
        <is>
          <t>PPE</t>
        </is>
      </c>
      <c r="F21" t="inlineStr">
        <is>
          <t>Wound Care, Lab Consumables, Syringes &amp; Needles, IV Infusion Sets, Gauze &amp; Bandages, Disinfectants, IV Cannulas, Catheters</t>
        </is>
      </c>
      <c r="G21" t="inlineStr"/>
      <c r="H21" t="inlineStr">
        <is>
          <t>https://www.medzell.net/main-categories-application/therapeutic-devices/</t>
        </is>
      </c>
      <c r="I21" t="inlineStr">
        <is>
          <t>jdomaszewicz@aidlab.com</t>
        </is>
      </c>
      <c r="L21" t="inlineStr">
        <is>
          <t>Stated</t>
        </is>
      </c>
      <c r="M21" t="inlineStr"/>
      <c r="N21" t="inlineStr">
        <is>
          <t>TUV</t>
        </is>
      </c>
      <c r="O21" t="inlineStr">
        <is>
          <t>https://www.medzell.net/company/aidlab-inc/</t>
        </is>
      </c>
      <c r="Q21" t="n">
        <v>10</v>
      </c>
      <c r="R21">
        <f>IF(Q21="","",IF(Q21&gt;=60,"HIGH",IF(Q21&gt;=30,"MEDIUM","LOW")))</f>
        <v/>
      </c>
      <c r="S21" t="inlineStr">
        <is>
          <t>New</t>
        </is>
      </c>
      <c r="T21" t="inlineStr">
        <is>
          <t>2026-03-05</t>
        </is>
      </c>
      <c r="U21" t="inlineStr">
        <is>
          <t>Seed=Medzell; Seed-file: output/medzell_company_urls.txt</t>
        </is>
      </c>
    </row>
    <row r="22">
      <c r="A22" t="n">
        <v>21</v>
      </c>
      <c r="B22" t="inlineStr">
        <is>
          <t>Airgases Projects – Trusted Partner in Medical &amp; Industrial Gas Solutions</t>
        </is>
      </c>
      <c r="C22" t="inlineStr"/>
      <c r="D22" t="inlineStr">
        <is>
          <t>Manufacturer</t>
        </is>
      </c>
      <c r="E22" t="inlineStr">
        <is>
          <t>PPE</t>
        </is>
      </c>
      <c r="F22" t="inlineStr">
        <is>
          <t>Wound Care, Lab Consumables, Syringes &amp; Needles, IV Infusion Sets, Gauze &amp; Bandages, Disinfectants, IV Cannulas, Catheters</t>
        </is>
      </c>
      <c r="G22" t="inlineStr"/>
      <c r="H22" t="inlineStr">
        <is>
          <t>https://www.medzell.net/main-categories-application/therapeutic-devices/</t>
        </is>
      </c>
      <c r="I22" t="inlineStr">
        <is>
          <t>benganinamrata@gmail.com</t>
        </is>
      </c>
      <c r="L22" t="inlineStr">
        <is>
          <t>Stated</t>
        </is>
      </c>
      <c r="M22" t="inlineStr"/>
      <c r="N22" t="inlineStr">
        <is>
          <t>TUV</t>
        </is>
      </c>
      <c r="O22" t="inlineStr">
        <is>
          <t>https://www.medzell.net/company/airgases-projects-pvt-ltd/</t>
        </is>
      </c>
      <c r="Q22" t="n">
        <v>30</v>
      </c>
      <c r="R22">
        <f>IF(Q22="","",IF(Q22&gt;=60,"HIGH",IF(Q22&gt;=30,"MEDIUM","LOW")))</f>
        <v/>
      </c>
      <c r="S22" t="inlineStr">
        <is>
          <t>New</t>
        </is>
      </c>
      <c r="T22" t="inlineStr">
        <is>
          <t>2026-03-05</t>
        </is>
      </c>
      <c r="U22" t="inlineStr">
        <is>
          <t>Seed=Medzell; Seed-file: output/medzell_company_urls.txt</t>
        </is>
      </c>
    </row>
    <row r="23">
      <c r="A23" t="n">
        <v>22</v>
      </c>
      <c r="B23" t="inlineStr">
        <is>
          <t>Airox Technologies: Pioneers and Leaders in PSA Oxygen Generation</t>
        </is>
      </c>
      <c r="C23" t="inlineStr"/>
      <c r="D23" t="inlineStr">
        <is>
          <t>Manufacturer</t>
        </is>
      </c>
      <c r="E23" t="inlineStr">
        <is>
          <t>PPE</t>
        </is>
      </c>
      <c r="F23" t="inlineStr">
        <is>
          <t>Wound Care, Lab Consumables, Syringes &amp; Needles, IV Infusion Sets, Gauze &amp; Bandages, Disinfectants, IV Cannulas, Catheters</t>
        </is>
      </c>
      <c r="G23" t="inlineStr"/>
      <c r="H23" t="inlineStr">
        <is>
          <t>https://www.medzell.net/main-categories-application/therapeutic-devices/</t>
        </is>
      </c>
      <c r="I23" t="inlineStr">
        <is>
          <t>sales@airoxtechnologies.com</t>
        </is>
      </c>
      <c r="L23" t="inlineStr"/>
      <c r="M23" t="inlineStr"/>
      <c r="N23" t="inlineStr">
        <is>
          <t>TUV</t>
        </is>
      </c>
      <c r="O23" t="inlineStr">
        <is>
          <t>https://www.medzell.net/company/airox-technologies-limited/</t>
        </is>
      </c>
      <c r="Q23" t="n">
        <v>25</v>
      </c>
      <c r="R23">
        <f>IF(Q23="","",IF(Q23&gt;=60,"HIGH",IF(Q23&gt;=30,"MEDIUM","LOW")))</f>
        <v/>
      </c>
      <c r="S23" t="inlineStr">
        <is>
          <t>New</t>
        </is>
      </c>
      <c r="T23" t="inlineStr">
        <is>
          <t>2026-03-05</t>
        </is>
      </c>
      <c r="U23" t="inlineStr">
        <is>
          <t>Seed=Medzell; Seed-file: output/medzell_company_urls.txt</t>
        </is>
      </c>
    </row>
    <row r="24">
      <c r="A24" t="n">
        <v>23</v>
      </c>
      <c r="B24" t="inlineStr">
        <is>
          <t>Leading Manufacturer &amp; Exporter of Hospital Consumables - Airways Surgical Pvt. Ltd.</t>
        </is>
      </c>
      <c r="C24" t="inlineStr"/>
      <c r="D24" t="inlineStr">
        <is>
          <t>Manufacturer</t>
        </is>
      </c>
      <c r="E24" t="inlineStr">
        <is>
          <t>PPE</t>
        </is>
      </c>
      <c r="F24" t="inlineStr">
        <is>
          <t>Wound Care, Lab Consumables, Syringes &amp; Needles, IV Infusion Sets, Gauze &amp; Bandages, Disinfectants, IV Cannulas, Catheters</t>
        </is>
      </c>
      <c r="G24" t="inlineStr"/>
      <c r="H24" t="inlineStr">
        <is>
          <t>https://www.medzell.net/main-categories-application/therapeutic-devices/</t>
        </is>
      </c>
      <c r="I24" t="inlineStr">
        <is>
          <t>info@airwayssurgical.com</t>
        </is>
      </c>
      <c r="L24" t="inlineStr">
        <is>
          <t>Stated</t>
        </is>
      </c>
      <c r="M24" t="inlineStr"/>
      <c r="N24" t="inlineStr">
        <is>
          <t>TUV</t>
        </is>
      </c>
      <c r="O24" t="inlineStr">
        <is>
          <t>https://www.medzell.net/company/airways-surgical-pvt-ltd/</t>
        </is>
      </c>
      <c r="Q24" t="n">
        <v>10</v>
      </c>
      <c r="R24">
        <f>IF(Q24="","",IF(Q24&gt;=60,"HIGH",IF(Q24&gt;=30,"MEDIUM","LOW")))</f>
        <v/>
      </c>
      <c r="S24" t="inlineStr">
        <is>
          <t>New</t>
        </is>
      </c>
      <c r="T24" t="inlineStr">
        <is>
          <t>2026-03-05</t>
        </is>
      </c>
      <c r="U24" t="inlineStr">
        <is>
          <t>Seed=Medzell; Seed-file: output/medzell_company_urls.txt</t>
        </is>
      </c>
    </row>
    <row r="25">
      <c r="A25" t="n">
        <v>24</v>
      </c>
      <c r="B25" t="inlineStr">
        <is>
          <t>AKAS Infusions: Trusted Manufacturer of High-Quality Drug Delivery Systems</t>
        </is>
      </c>
      <c r="C25" t="inlineStr"/>
      <c r="D25" t="inlineStr">
        <is>
          <t>Manufacturer</t>
        </is>
      </c>
      <c r="E25" t="inlineStr">
        <is>
          <t>PPE</t>
        </is>
      </c>
      <c r="F25" t="inlineStr">
        <is>
          <t>Wound Care, Lab Consumables, Syringes &amp; Needles, IV Infusion Sets, Gauze &amp; Bandages, Disinfectants, IV Cannulas, Catheters</t>
        </is>
      </c>
      <c r="G25" t="inlineStr"/>
      <c r="H25" t="inlineStr">
        <is>
          <t>https://www.medzell.net/main-categories-application/therapeutic-devices/</t>
        </is>
      </c>
      <c r="I25" t="inlineStr">
        <is>
          <t>girish@akasinfusions.com</t>
        </is>
      </c>
      <c r="L25" t="inlineStr">
        <is>
          <t>Stated</t>
        </is>
      </c>
      <c r="M25" t="inlineStr">
        <is>
          <t>Stated</t>
        </is>
      </c>
      <c r="N25" t="inlineStr">
        <is>
          <t>TUV</t>
        </is>
      </c>
      <c r="O25" t="inlineStr">
        <is>
          <t>https://www.medzell.net/company/akas-infusions/</t>
        </is>
      </c>
      <c r="Q25" t="n">
        <v>0</v>
      </c>
      <c r="R25">
        <f>IF(Q25="","",IF(Q25&gt;=60,"HIGH",IF(Q25&gt;=30,"MEDIUM","LOW")))</f>
        <v/>
      </c>
      <c r="S25" t="inlineStr">
        <is>
          <t>New</t>
        </is>
      </c>
      <c r="T25" t="inlineStr">
        <is>
          <t>2026-03-05</t>
        </is>
      </c>
      <c r="U25" t="inlineStr">
        <is>
          <t>Seed=Medzell; Seed-file: output/medzell_company_urls.txt</t>
        </is>
      </c>
    </row>
    <row r="26">
      <c r="A26" t="n">
        <v>25</v>
      </c>
      <c r="B26" t="inlineStr">
        <is>
          <t>AKAS Technologies: Leading Manufacturer of Cutting-Edge Ophthalmology Products and Solutions</t>
        </is>
      </c>
      <c r="C26" t="inlineStr"/>
      <c r="D26" t="inlineStr">
        <is>
          <t>Manufacturer</t>
        </is>
      </c>
      <c r="E26" t="inlineStr">
        <is>
          <t>PPE</t>
        </is>
      </c>
      <c r="F26" t="inlineStr">
        <is>
          <t>Wound Care, Lab Consumables, Syringes &amp; Needles, IV Infusion Sets, Gauze &amp; Bandages, Disinfectants, IV Cannulas, Catheters</t>
        </is>
      </c>
      <c r="G26" t="inlineStr"/>
      <c r="H26" t="inlineStr">
        <is>
          <t>https://www.medzell.net/main-categories-application/therapeutic-devices/</t>
        </is>
      </c>
      <c r="I26" t="inlineStr">
        <is>
          <t>exportakastech@gmail.com</t>
        </is>
      </c>
      <c r="L26" t="inlineStr">
        <is>
          <t>Stated</t>
        </is>
      </c>
      <c r="M26" t="inlineStr"/>
      <c r="N26" t="inlineStr">
        <is>
          <t>TUV</t>
        </is>
      </c>
      <c r="O26" t="inlineStr">
        <is>
          <t>https://www.medzell.net/company/akas-technologies/</t>
        </is>
      </c>
      <c r="Q26" t="n">
        <v>30</v>
      </c>
      <c r="R26">
        <f>IF(Q26="","",IF(Q26&gt;=60,"HIGH",IF(Q26&gt;=30,"MEDIUM","LOW")))</f>
        <v/>
      </c>
      <c r="S26" t="inlineStr">
        <is>
          <t>New</t>
        </is>
      </c>
      <c r="T26" t="inlineStr">
        <is>
          <t>2026-03-05</t>
        </is>
      </c>
      <c r="U26" t="inlineStr">
        <is>
          <t>Seed=Medzell; Seed-file: output/medzell_company_urls.txt</t>
        </is>
      </c>
    </row>
    <row r="27">
      <c r="A27" t="n">
        <v>26</v>
      </c>
      <c r="B27" t="inlineStr">
        <is>
          <t>Akriti – Innovating Affordable Eye Care Solutions &amp; Ophthalmic Implants</t>
        </is>
      </c>
      <c r="C27" t="inlineStr"/>
      <c r="D27" t="inlineStr">
        <is>
          <t>Manufacturer</t>
        </is>
      </c>
      <c r="E27" t="inlineStr">
        <is>
          <t>PPE</t>
        </is>
      </c>
      <c r="F27" t="inlineStr">
        <is>
          <t>Wound Care, Lab Consumables, Syringes &amp; Needles, IV Infusion Sets, Gauze &amp; Bandages, Disinfectants, IV Cannulas, Catheters</t>
        </is>
      </c>
      <c r="G27" t="inlineStr"/>
      <c r="H27" t="inlineStr">
        <is>
          <t>https://www.medzell.net/main-categories-application/therapeutic-devices/</t>
        </is>
      </c>
      <c r="I27" t="inlineStr">
        <is>
          <t>sales.akriti@gmail.com</t>
        </is>
      </c>
      <c r="L27" t="inlineStr"/>
      <c r="M27" t="inlineStr"/>
      <c r="N27" t="inlineStr">
        <is>
          <t>TUV</t>
        </is>
      </c>
      <c r="O27" t="inlineStr">
        <is>
          <t>https://www.medzell.net/company/akriti-ophthalmic-pvt-ltd/</t>
        </is>
      </c>
      <c r="Q27" t="n">
        <v>45</v>
      </c>
      <c r="R27">
        <f>IF(Q27="","",IF(Q27&gt;=60,"HIGH",IF(Q27&gt;=30,"MEDIUM","LOW")))</f>
        <v/>
      </c>
      <c r="S27" t="inlineStr">
        <is>
          <t>New</t>
        </is>
      </c>
      <c r="T27" t="inlineStr">
        <is>
          <t>2026-03-05</t>
        </is>
      </c>
      <c r="U27" t="inlineStr">
        <is>
          <t>Seed=Medzell; Seed-file: output/medzell_company_urls.txt</t>
        </is>
      </c>
    </row>
    <row r="28">
      <c r="A28" t="n">
        <v>27</v>
      </c>
      <c r="B28" t="inlineStr">
        <is>
          <t>Quality, Reliability, and Innovation: A Deep Dive into Alan Electronic Systems Pvt. Ltd., Featuring CO2 Insufflators and ESUs.</t>
        </is>
      </c>
      <c r="C28" t="inlineStr"/>
      <c r="D28" t="inlineStr">
        <is>
          <t>Manufacturer</t>
        </is>
      </c>
      <c r="E28" t="inlineStr">
        <is>
          <t>PPE</t>
        </is>
      </c>
      <c r="F28" t="inlineStr">
        <is>
          <t>Wound Care, Lab Consumables, Syringes &amp; Needles, IV Infusion Sets, Gauze &amp; Bandages, Disinfectants, IV Cannulas, Catheters</t>
        </is>
      </c>
      <c r="G28" t="inlineStr"/>
      <c r="H28" t="inlineStr">
        <is>
          <t>https://www.medzell.net/main-categories-application/therapeutic-devices/</t>
        </is>
      </c>
      <c r="I28" t="inlineStr">
        <is>
          <t>export@alanindia.net</t>
        </is>
      </c>
      <c r="L28" t="inlineStr">
        <is>
          <t>Stated</t>
        </is>
      </c>
      <c r="M28" t="inlineStr"/>
      <c r="N28" t="inlineStr">
        <is>
          <t>TUV</t>
        </is>
      </c>
      <c r="O28" t="inlineStr">
        <is>
          <t>https://www.medzell.net/company/alan-electronics-systems-pvt-ltd/</t>
        </is>
      </c>
      <c r="Q28" t="n">
        <v>10</v>
      </c>
      <c r="R28">
        <f>IF(Q28="","",IF(Q28&gt;=60,"HIGH",IF(Q28&gt;=30,"MEDIUM","LOW")))</f>
        <v/>
      </c>
      <c r="S28" t="inlineStr">
        <is>
          <t>New</t>
        </is>
      </c>
      <c r="T28" t="inlineStr">
        <is>
          <t>2026-03-05</t>
        </is>
      </c>
      <c r="U28" t="inlineStr">
        <is>
          <t>Seed=Medzell; Seed-file: output/medzell_company_urls.txt</t>
        </is>
      </c>
    </row>
    <row r="29">
      <c r="A29" t="n">
        <v>28</v>
      </c>
      <c r="B29" t="inlineStr">
        <is>
          <t>Top-Quality Medical Imaging Solutions by Allans Medical Systems Pvt. Ltd.</t>
        </is>
      </c>
      <c r="C29" t="inlineStr"/>
      <c r="D29" t="inlineStr">
        <is>
          <t>Manufacturer</t>
        </is>
      </c>
      <c r="E29" t="inlineStr">
        <is>
          <t>PPE</t>
        </is>
      </c>
      <c r="F29" t="inlineStr">
        <is>
          <t>Wound Care, Lab Consumables, Syringes &amp; Needles, IV Infusion Sets, Gauze &amp; Bandages, Disinfectants, IV Cannulas, Catheters</t>
        </is>
      </c>
      <c r="G29" t="inlineStr"/>
      <c r="H29" t="inlineStr">
        <is>
          <t>https://www.medzell.net/main-categories-application/therapeutic-devices/</t>
        </is>
      </c>
      <c r="I29" t="inlineStr">
        <is>
          <t>allansmedisys@gmail.com</t>
        </is>
      </c>
      <c r="L29" t="inlineStr"/>
      <c r="M29" t="inlineStr"/>
      <c r="N29" t="inlineStr">
        <is>
          <t>TUV</t>
        </is>
      </c>
      <c r="O29" t="inlineStr">
        <is>
          <t>https://www.medzell.net/company/allans-medical-systems-pvt-ltd/</t>
        </is>
      </c>
      <c r="Q29" t="n">
        <v>45</v>
      </c>
      <c r="R29">
        <f>IF(Q29="","",IF(Q29&gt;=60,"HIGH",IF(Q29&gt;=30,"MEDIUM","LOW")))</f>
        <v/>
      </c>
      <c r="S29" t="inlineStr">
        <is>
          <t>New</t>
        </is>
      </c>
      <c r="T29" t="inlineStr">
        <is>
          <t>2026-03-05</t>
        </is>
      </c>
      <c r="U29" t="inlineStr">
        <is>
          <t>Seed=Medzell; Seed-file: output/medzell_company_urls.txt</t>
        </is>
      </c>
    </row>
    <row r="30">
      <c r="A30" t="n">
        <v>29</v>
      </c>
      <c r="B30" t="inlineStr">
        <is>
          <t>Allengers Medical Systems Ltd. | India’s Premier Diagnostic Equipment Manufacturer</t>
        </is>
      </c>
      <c r="C30" t="inlineStr"/>
      <c r="D30" t="inlineStr">
        <is>
          <t>Manufacturer</t>
        </is>
      </c>
      <c r="E30" t="inlineStr">
        <is>
          <t>PPE</t>
        </is>
      </c>
      <c r="F30" t="inlineStr">
        <is>
          <t>Wound Care, Lab Consumables, Syringes &amp; Needles, IV Infusion Sets, Catheters, Gauze &amp; Bandages, Disinfectants, IV Cannulas</t>
        </is>
      </c>
      <c r="G30" t="inlineStr"/>
      <c r="H30" t="inlineStr">
        <is>
          <t>https://www.medzell.net/main-categories-application/therapeutic-devices/</t>
        </is>
      </c>
      <c r="I30" t="inlineStr">
        <is>
          <t>online.marketing@allengers.net</t>
        </is>
      </c>
      <c r="L30" t="inlineStr">
        <is>
          <t>Stated</t>
        </is>
      </c>
      <c r="M30" t="inlineStr"/>
      <c r="N30" t="inlineStr">
        <is>
          <t>FDA, TUV</t>
        </is>
      </c>
      <c r="O30" t="inlineStr">
        <is>
          <t>https://www.medzell.net/company/allengers-medical-systems-ltd/</t>
        </is>
      </c>
      <c r="Q30" t="n">
        <v>10</v>
      </c>
      <c r="R30">
        <f>IF(Q30="","",IF(Q30&gt;=60,"HIGH",IF(Q30&gt;=30,"MEDIUM","LOW")))</f>
        <v/>
      </c>
      <c r="S30" t="inlineStr">
        <is>
          <t>New</t>
        </is>
      </c>
      <c r="T30" t="inlineStr">
        <is>
          <t>2026-03-05</t>
        </is>
      </c>
      <c r="U30" t="inlineStr">
        <is>
          <t>Seed=Medzell; Seed-file: output/medzell_company_urls.txt</t>
        </is>
      </c>
    </row>
    <row r="31">
      <c r="A31" t="n">
        <v>30</v>
      </c>
      <c r="B31" t="inlineStr">
        <is>
          <t>Alliance Elemech – Trusted Manufacturer of Medical &amp; Industrial Sterilization Equipment</t>
        </is>
      </c>
      <c r="C31" t="inlineStr"/>
      <c r="D31" t="inlineStr">
        <is>
          <t>Manufacturer</t>
        </is>
      </c>
      <c r="E31" t="inlineStr">
        <is>
          <t>PPE</t>
        </is>
      </c>
      <c r="F31" t="inlineStr">
        <is>
          <t>Wound Care, Lab Consumables, Syringes &amp; Needles, IV Infusion Sets, Gauze &amp; Bandages, Disinfectants, IV Cannulas, Catheters</t>
        </is>
      </c>
      <c r="G31" t="inlineStr"/>
      <c r="H31" t="inlineStr">
        <is>
          <t>https://www.medzell.net/main-categories-application/therapeutic-devices/</t>
        </is>
      </c>
      <c r="I31" t="inlineStr">
        <is>
          <t>alliance.elemech@gmail.com</t>
        </is>
      </c>
      <c r="L31" t="inlineStr"/>
      <c r="M31" t="inlineStr"/>
      <c r="N31" t="inlineStr">
        <is>
          <t>TUV</t>
        </is>
      </c>
      <c r="O31" t="inlineStr">
        <is>
          <t>https://www.medzell.net/company/alliance-elemech/</t>
        </is>
      </c>
      <c r="Q31" t="n">
        <v>45</v>
      </c>
      <c r="R31">
        <f>IF(Q31="","",IF(Q31&gt;=60,"HIGH",IF(Q31&gt;=30,"MEDIUM","LOW")))</f>
        <v/>
      </c>
      <c r="S31" t="inlineStr">
        <is>
          <t>New</t>
        </is>
      </c>
      <c r="T31" t="inlineStr">
        <is>
          <t>2026-03-05</t>
        </is>
      </c>
      <c r="U31" t="inlineStr">
        <is>
          <t>Seed=Medzell; Seed-file: output/medzell_company_urls.txt</t>
        </is>
      </c>
    </row>
    <row r="32">
      <c r="A32" t="n">
        <v>31</v>
      </c>
      <c r="B32" t="inlineStr">
        <is>
          <t>Leading Manufacturer and Exporter of Hospital Equipment - Allied Medical Limited (AML)</t>
        </is>
      </c>
      <c r="C32" t="inlineStr"/>
      <c r="D32" t="inlineStr">
        <is>
          <t>Manufacturer</t>
        </is>
      </c>
      <c r="E32" t="inlineStr">
        <is>
          <t>PPE</t>
        </is>
      </c>
      <c r="F32" t="inlineStr">
        <is>
          <t>Wound Care, Lab Consumables, Syringes &amp; Needles, IV Infusion Sets, Gauze &amp; Bandages, Disinfectants, IV Cannulas, Catheters</t>
        </is>
      </c>
      <c r="G32" t="inlineStr"/>
      <c r="H32" t="inlineStr">
        <is>
          <t>https://www.medzell.net/main-categories-application/therapeutic-devices/</t>
        </is>
      </c>
      <c r="I32" t="inlineStr">
        <is>
          <t>godwin@alliedmed.co.in</t>
        </is>
      </c>
      <c r="L32" t="inlineStr">
        <is>
          <t>Stated</t>
        </is>
      </c>
      <c r="M32" t="inlineStr">
        <is>
          <t>Stated</t>
        </is>
      </c>
      <c r="N32" t="inlineStr">
        <is>
          <t>FDA, TUV</t>
        </is>
      </c>
      <c r="O32" t="inlineStr">
        <is>
          <t>https://www.medzell.net/company/allied-medical-ltd/</t>
        </is>
      </c>
      <c r="Q32" t="n">
        <v>0</v>
      </c>
      <c r="R32">
        <f>IF(Q32="","",IF(Q32&gt;=60,"HIGH",IF(Q32&gt;=30,"MEDIUM","LOW")))</f>
        <v/>
      </c>
      <c r="S32" t="inlineStr">
        <is>
          <t>New</t>
        </is>
      </c>
      <c r="T32" t="inlineStr">
        <is>
          <t>2026-03-05</t>
        </is>
      </c>
      <c r="U32" t="inlineStr">
        <is>
          <t>Seed=Medzell; Seed-file: output/medzell_company_urls.txt</t>
        </is>
      </c>
    </row>
    <row r="33">
      <c r="A33" t="n">
        <v>32</v>
      </c>
      <c r="B33" t="inlineStr">
        <is>
          <t>Alpine Biomedicals – Advancing Rapid Diagnostics for Accurate &amp; Cost-Effective Healthcare Solutions</t>
        </is>
      </c>
      <c r="C33" t="inlineStr"/>
      <c r="D33" t="inlineStr">
        <is>
          <t>Manufacturer</t>
        </is>
      </c>
      <c r="E33" t="inlineStr">
        <is>
          <t>PPE</t>
        </is>
      </c>
      <c r="F33" t="inlineStr">
        <is>
          <t>Wound Care, Lab Consumables, Syringes &amp; Needles, IV Infusion Sets, Gauze &amp; Bandages, Disinfectants, IV Cannulas, Catheters</t>
        </is>
      </c>
      <c r="G33" t="inlineStr"/>
      <c r="H33" t="inlineStr">
        <is>
          <t>https://www.medzell.net/main-categories-application/therapeutic-devices/</t>
        </is>
      </c>
      <c r="I33" t="inlineStr">
        <is>
          <t>sales@alpinebiomedicals.com</t>
        </is>
      </c>
      <c r="L33" t="inlineStr">
        <is>
          <t>Stated</t>
        </is>
      </c>
      <c r="M33" t="inlineStr"/>
      <c r="N33" t="inlineStr">
        <is>
          <t>TUV</t>
        </is>
      </c>
      <c r="O33" t="inlineStr">
        <is>
          <t>https://www.medzell.net/company/alpine-biomedicals-pvt-ltd/</t>
        </is>
      </c>
      <c r="Q33" t="n">
        <v>10</v>
      </c>
      <c r="R33">
        <f>IF(Q33="","",IF(Q33&gt;=60,"HIGH",IF(Q33&gt;=30,"MEDIUM","LOW")))</f>
        <v/>
      </c>
      <c r="S33" t="inlineStr">
        <is>
          <t>New</t>
        </is>
      </c>
      <c r="T33" t="inlineStr">
        <is>
          <t>2026-03-05</t>
        </is>
      </c>
      <c r="U33" t="inlineStr">
        <is>
          <t>Seed=Medzell; Seed-file: output/medzell_company_urls.txt</t>
        </is>
      </c>
    </row>
    <row r="34">
      <c r="A34" t="n">
        <v>33</v>
      </c>
      <c r="B34" t="inlineStr">
        <is>
          <t>Altis Instruments - Trusted Lab Furnaces, Ovens &amp; Sterilizer Solutions</t>
        </is>
      </c>
      <c r="C34" t="inlineStr"/>
      <c r="D34" t="inlineStr">
        <is>
          <t>Manufacturer</t>
        </is>
      </c>
      <c r="E34" t="inlineStr">
        <is>
          <t>PPE</t>
        </is>
      </c>
      <c r="F34" t="inlineStr">
        <is>
          <t>Wound Care, Lab Consumables, Syringes &amp; Needles, IV Infusion Sets, Gauze &amp; Bandages, Disinfectants, IV Cannulas, Catheters</t>
        </is>
      </c>
      <c r="G34" t="inlineStr"/>
      <c r="H34" t="inlineStr">
        <is>
          <t>https://www.medzell.net/main-categories-application/therapeutic-devices/</t>
        </is>
      </c>
      <c r="I34" t="inlineStr">
        <is>
          <t>altisinstrumentsindia@gmail.com</t>
        </is>
      </c>
      <c r="L34" t="inlineStr">
        <is>
          <t>Stated</t>
        </is>
      </c>
      <c r="M34" t="inlineStr"/>
      <c r="N34" t="inlineStr">
        <is>
          <t>FDA, GMP, TUV</t>
        </is>
      </c>
      <c r="O34" t="inlineStr">
        <is>
          <t>https://www.medzell.net/company/altis-instruments/</t>
        </is>
      </c>
      <c r="Q34" t="n">
        <v>30</v>
      </c>
      <c r="R34">
        <f>IF(Q34="","",IF(Q34&gt;=60,"HIGH",IF(Q34&gt;=30,"MEDIUM","LOW")))</f>
        <v/>
      </c>
      <c r="S34" t="inlineStr">
        <is>
          <t>New</t>
        </is>
      </c>
      <c r="T34" t="inlineStr">
        <is>
          <t>2026-03-05</t>
        </is>
      </c>
      <c r="U34" t="inlineStr">
        <is>
          <t>Seed=Medzell; Seed-file: output/medzell_company_urls.txt</t>
        </is>
      </c>
    </row>
    <row r="35">
      <c r="A35" t="n">
        <v>34</v>
      </c>
      <c r="B35" t="inlineStr">
        <is>
          <t>Amazing Rubber Products – Premium Medical Gloves for Global Healthcare</t>
        </is>
      </c>
      <c r="C35" t="inlineStr"/>
      <c r="D35" t="inlineStr">
        <is>
          <t>Manufacturer</t>
        </is>
      </c>
      <c r="E35" t="inlineStr">
        <is>
          <t>PPE</t>
        </is>
      </c>
      <c r="F35" t="inlineStr">
        <is>
          <t>Wound Care, Lab Consumables, Syringes &amp; Needles, IV Infusion Sets, Gloves, Gauze &amp; Bandages, Disinfectants, IV Cannulas, Catheters</t>
        </is>
      </c>
      <c r="G35" t="inlineStr"/>
      <c r="H35" t="inlineStr">
        <is>
          <t>https://www.medzell.net/main-categories-application/therapeutic-devices/</t>
        </is>
      </c>
      <c r="I35" t="inlineStr">
        <is>
          <t>inquiries@amazingglove.com</t>
        </is>
      </c>
      <c r="L35" t="inlineStr">
        <is>
          <t>Stated</t>
        </is>
      </c>
      <c r="M35" t="inlineStr"/>
      <c r="N35" t="inlineStr">
        <is>
          <t>FDA, GMP, TUV</t>
        </is>
      </c>
      <c r="O35" t="inlineStr">
        <is>
          <t>https://www.medzell.net/company/amazing-rubber-products-pvt-ltd/</t>
        </is>
      </c>
      <c r="Q35" t="n">
        <v>10</v>
      </c>
      <c r="R35">
        <f>IF(Q35="","",IF(Q35&gt;=60,"HIGH",IF(Q35&gt;=30,"MEDIUM","LOW")))</f>
        <v/>
      </c>
      <c r="S35" t="inlineStr">
        <is>
          <t>New</t>
        </is>
      </c>
      <c r="T35" t="inlineStr">
        <is>
          <t>2026-03-05</t>
        </is>
      </c>
      <c r="U35" t="inlineStr">
        <is>
          <t>Seed=Medzell; Seed-file: output/medzell_company_urls.txt</t>
        </is>
      </c>
    </row>
    <row r="36">
      <c r="A36" t="n">
        <v>35</v>
      </c>
      <c r="B36" t="inlineStr">
        <is>
          <t>AMBELIO - Innovative Medical Devices for Pain Management</t>
        </is>
      </c>
      <c r="C36" t="inlineStr"/>
      <c r="D36" t="inlineStr">
        <is>
          <t>Manufacturer</t>
        </is>
      </c>
      <c r="E36" t="inlineStr">
        <is>
          <t>PPE</t>
        </is>
      </c>
      <c r="F36" t="inlineStr">
        <is>
          <t>Wound Care, Lab Consumables, Syringes &amp; Needles, IV Infusion Sets, Gauze &amp; Bandages, Disinfectants, IV Cannulas, Catheters</t>
        </is>
      </c>
      <c r="G36" t="inlineStr"/>
      <c r="H36" t="inlineStr">
        <is>
          <t>https://www.medzell.net/main-categories-application/therapeutic-devices/</t>
        </is>
      </c>
      <c r="I36" t="inlineStr">
        <is>
          <t>achats@ambelio.com</t>
        </is>
      </c>
      <c r="L36" t="inlineStr"/>
      <c r="M36" t="inlineStr"/>
      <c r="N36" t="inlineStr">
        <is>
          <t>TUV</t>
        </is>
      </c>
      <c r="O36" t="inlineStr">
        <is>
          <t>https://www.medzell.net/company/ambelio/</t>
        </is>
      </c>
      <c r="Q36" t="n">
        <v>25</v>
      </c>
      <c r="R36">
        <f>IF(Q36="","",IF(Q36&gt;=60,"HIGH",IF(Q36&gt;=30,"MEDIUM","LOW")))</f>
        <v/>
      </c>
      <c r="S36" t="inlineStr">
        <is>
          <t>New</t>
        </is>
      </c>
      <c r="T36" t="inlineStr">
        <is>
          <t>2026-03-05</t>
        </is>
      </c>
      <c r="U36" t="inlineStr">
        <is>
          <t>Seed=Medzell; Seed-file: output/medzell_company_urls.txt</t>
        </is>
      </c>
    </row>
    <row r="37">
      <c r="A37" t="n">
        <v>36</v>
      </c>
      <c r="B37" t="inlineStr">
        <is>
          <t>Eqwell – Your Reliable Partner for Surgical Dressings &amp; Medical Supplies</t>
        </is>
      </c>
      <c r="C37" t="inlineStr"/>
      <c r="D37" t="inlineStr">
        <is>
          <t>Manufacturer</t>
        </is>
      </c>
      <c r="E37" t="inlineStr">
        <is>
          <t>PPE</t>
        </is>
      </c>
      <c r="F37" t="inlineStr">
        <is>
          <t>Wound Care, Gauze &amp; Bandages, Lab Consumables, Syringes &amp; Needles, IV Infusion Sets, Disinfectants, IV Cannulas, Catheters</t>
        </is>
      </c>
      <c r="G37" t="inlineStr"/>
      <c r="H37" t="inlineStr">
        <is>
          <t>https://www.medzell.net/main-categories-application/therapeutic-devices/</t>
        </is>
      </c>
      <c r="I37" t="inlineStr">
        <is>
          <t>ambikatraders555@gmail.com</t>
        </is>
      </c>
      <c r="L37" t="inlineStr"/>
      <c r="M37" t="inlineStr"/>
      <c r="N37" t="inlineStr">
        <is>
          <t>TUV</t>
        </is>
      </c>
      <c r="O37" t="inlineStr">
        <is>
          <t>https://www.medzell.net/company/ambika-traders-eqwell/</t>
        </is>
      </c>
      <c r="Q37" t="n">
        <v>45</v>
      </c>
      <c r="R37">
        <f>IF(Q37="","",IF(Q37&gt;=60,"HIGH",IF(Q37&gt;=30,"MEDIUM","LOW")))</f>
        <v/>
      </c>
      <c r="S37" t="inlineStr">
        <is>
          <t>New</t>
        </is>
      </c>
      <c r="T37" t="inlineStr">
        <is>
          <t>2026-03-05</t>
        </is>
      </c>
      <c r="U37" t="inlineStr">
        <is>
          <t>Seed=Medzell; Seed-file: output/medzell_company_urls.txt</t>
        </is>
      </c>
    </row>
    <row r="38">
      <c r="A38" t="n">
        <v>37</v>
      </c>
      <c r="B38" t="inlineStr">
        <is>
          <t>Ambinova Technologies: Precision-Engineered Laboratory Solutions</t>
        </is>
      </c>
      <c r="C38" t="inlineStr"/>
      <c r="D38" t="inlineStr">
        <is>
          <t>Manufacturer</t>
        </is>
      </c>
      <c r="E38" t="inlineStr">
        <is>
          <t>PPE</t>
        </is>
      </c>
      <c r="F38" t="inlineStr">
        <is>
          <t>Wound Care, Lab Consumables, Syringes &amp; Needles, IV Infusion Sets, Gauze &amp; Bandages, Disinfectants, IV Cannulas, Catheters</t>
        </is>
      </c>
      <c r="G38" t="inlineStr"/>
      <c r="H38" t="inlineStr">
        <is>
          <t>https://www.medzell.net/main-categories-application/therapeutic-devices/</t>
        </is>
      </c>
      <c r="I38" t="inlineStr">
        <is>
          <t>paul@ambinova.in</t>
        </is>
      </c>
      <c r="L38" t="inlineStr"/>
      <c r="M38" t="inlineStr"/>
      <c r="N38" t="inlineStr">
        <is>
          <t>TUV</t>
        </is>
      </c>
      <c r="O38" t="inlineStr">
        <is>
          <t>https://www.medzell.net/company/ambinova-technologies-pvt-ltd/</t>
        </is>
      </c>
      <c r="Q38" t="n">
        <v>25</v>
      </c>
      <c r="R38">
        <f>IF(Q38="","",IF(Q38&gt;=60,"HIGH",IF(Q38&gt;=30,"MEDIUM","LOW")))</f>
        <v/>
      </c>
      <c r="S38" t="inlineStr">
        <is>
          <t>New</t>
        </is>
      </c>
      <c r="T38" t="inlineStr">
        <is>
          <t>2026-03-05</t>
        </is>
      </c>
      <c r="U38" t="inlineStr">
        <is>
          <t>Seed=Medzell; Seed-file: output/medzell_company_urls.txt</t>
        </is>
      </c>
    </row>
    <row r="39">
      <c r="A39" t="n">
        <v>38</v>
      </c>
      <c r="B39" t="inlineStr">
        <is>
          <t>Leading Manufacturer of Medical Tubing and Consumables - Ami Polymer Pvt. Ltd.</t>
        </is>
      </c>
      <c r="C39" t="inlineStr"/>
      <c r="D39" t="inlineStr">
        <is>
          <t>Manufacturer</t>
        </is>
      </c>
      <c r="E39" t="inlineStr">
        <is>
          <t>PPE</t>
        </is>
      </c>
      <c r="F39" t="inlineStr">
        <is>
          <t>Wound Care, Lab Consumables, Syringes &amp; Needles, IV Cannulas, IV Infusion Sets, Gauze &amp; Bandages, Disinfectants, Catheters</t>
        </is>
      </c>
      <c r="G39" t="inlineStr"/>
      <c r="H39" t="inlineStr">
        <is>
          <t>https://www.medzell.net/main-categories-application/therapeutic-devices/</t>
        </is>
      </c>
      <c r="I39" t="inlineStr">
        <is>
          <t>anuj.s@amipolymer.com</t>
        </is>
      </c>
      <c r="L39" t="inlineStr">
        <is>
          <t>Stated</t>
        </is>
      </c>
      <c r="M39" t="inlineStr"/>
      <c r="N39" t="inlineStr">
        <is>
          <t>FDA, TUV</t>
        </is>
      </c>
      <c r="O39" t="inlineStr">
        <is>
          <t>https://www.medzell.net/company/ami-polymer-pvt-ltd/</t>
        </is>
      </c>
      <c r="Q39" t="n">
        <v>10</v>
      </c>
      <c r="R39">
        <f>IF(Q39="","",IF(Q39&gt;=60,"HIGH",IF(Q39&gt;=30,"MEDIUM","LOW")))</f>
        <v/>
      </c>
      <c r="S39" t="inlineStr">
        <is>
          <t>New</t>
        </is>
      </c>
      <c r="T39" t="inlineStr">
        <is>
          <t>2026-03-05</t>
        </is>
      </c>
      <c r="U39" t="inlineStr">
        <is>
          <t>Seed=Medzell; Seed-file: output/medzell_company_urls.txt</t>
        </is>
      </c>
    </row>
    <row r="40">
      <c r="A40" t="n">
        <v>39</v>
      </c>
      <c r="B40" t="inlineStr">
        <is>
          <t>AMX Medical Systems: Top Manufacturer &amp; Supplier of Advanced X-Ray Machines</t>
        </is>
      </c>
      <c r="C40" t="inlineStr"/>
      <c r="D40" t="inlineStr">
        <is>
          <t>Manufacturer</t>
        </is>
      </c>
      <c r="E40" t="inlineStr">
        <is>
          <t>PPE</t>
        </is>
      </c>
      <c r="F40" t="inlineStr">
        <is>
          <t>Wound Care, Lab Consumables, Syringes &amp; Needles, IV Infusion Sets, Gauze &amp; Bandages, Disinfectants, IV Cannulas, Catheters</t>
        </is>
      </c>
      <c r="G40" t="inlineStr"/>
      <c r="H40" t="inlineStr">
        <is>
          <t>https://www.medzell.net/main-categories-application/therapeutic-devices/</t>
        </is>
      </c>
      <c r="I40" t="inlineStr">
        <is>
          <t>amxmedicalsystems@gmail.com</t>
        </is>
      </c>
      <c r="L40" t="inlineStr">
        <is>
          <t>Stated</t>
        </is>
      </c>
      <c r="M40" t="inlineStr"/>
      <c r="N40" t="inlineStr">
        <is>
          <t>TUV</t>
        </is>
      </c>
      <c r="O40" t="inlineStr">
        <is>
          <t>https://www.medzell.net/company/amx-medical-systems/</t>
        </is>
      </c>
      <c r="Q40" t="n">
        <v>30</v>
      </c>
      <c r="R40">
        <f>IF(Q40="","",IF(Q40&gt;=60,"HIGH",IF(Q40&gt;=30,"MEDIUM","LOW")))</f>
        <v/>
      </c>
      <c r="S40" t="inlineStr">
        <is>
          <t>New</t>
        </is>
      </c>
      <c r="T40" t="inlineStr">
        <is>
          <t>2026-03-05</t>
        </is>
      </c>
      <c r="U40" t="inlineStr">
        <is>
          <t>Seed=Medzell; Seed-file: output/medzell_company_urls.txt</t>
        </is>
      </c>
    </row>
    <row r="41">
      <c r="A41" t="n">
        <v>40</v>
      </c>
      <c r="B41" t="inlineStr">
        <is>
          <t>Anand Surgical Industries India: Leading Manufacturer &amp; Exporter of Hospital Furniture &amp; Equipment</t>
        </is>
      </c>
      <c r="C41" t="inlineStr"/>
      <c r="D41" t="inlineStr">
        <is>
          <t>Manufacturer</t>
        </is>
      </c>
      <c r="E41" t="inlineStr">
        <is>
          <t>PPE</t>
        </is>
      </c>
      <c r="F41" t="inlineStr">
        <is>
          <t>Wound Care, Lab Consumables, Syringes &amp; Needles, IV Infusion Sets, Gauze &amp; Bandages, Disinfectants, IV Cannulas, Catheters</t>
        </is>
      </c>
      <c r="G41" t="inlineStr"/>
      <c r="H41" t="inlineStr">
        <is>
          <t>https://www.medzell.net/main-categories-application/therapeutic-devices/</t>
        </is>
      </c>
      <c r="I41" t="inlineStr">
        <is>
          <t>sarthakv01@gmail.com</t>
        </is>
      </c>
      <c r="L41" t="inlineStr"/>
      <c r="M41" t="inlineStr"/>
      <c r="N41" t="inlineStr">
        <is>
          <t>TUV</t>
        </is>
      </c>
      <c r="O41" t="inlineStr">
        <is>
          <t>https://www.medzell.net/company/anand-surgical-industries-india-surgix/</t>
        </is>
      </c>
      <c r="Q41" t="n">
        <v>45</v>
      </c>
      <c r="R41">
        <f>IF(Q41="","",IF(Q41&gt;=60,"HIGH",IF(Q41&gt;=30,"MEDIUM","LOW")))</f>
        <v/>
      </c>
      <c r="S41" t="inlineStr">
        <is>
          <t>New</t>
        </is>
      </c>
      <c r="T41" t="inlineStr">
        <is>
          <t>2026-03-05</t>
        </is>
      </c>
      <c r="U41" t="inlineStr">
        <is>
          <t>Seed=Medzell; Seed-file: output/medzell_company_urls.txt</t>
        </is>
      </c>
    </row>
    <row r="42">
      <c r="A42" t="n">
        <v>41</v>
      </c>
      <c r="B42" t="inlineStr">
        <is>
          <t>Henan Anbang Medical Supplies: Leading Manufacturer of Medical &amp; Surgical Disposables</t>
        </is>
      </c>
      <c r="C42" t="inlineStr"/>
      <c r="D42" t="inlineStr">
        <is>
          <t>Manufacturer</t>
        </is>
      </c>
      <c r="E42" t="inlineStr">
        <is>
          <t>PPE</t>
        </is>
      </c>
      <c r="F42" t="inlineStr">
        <is>
          <t>Wound Care, Lab Consumables, Syringes &amp; Needles, IV Infusion Sets, Gauze &amp; Bandages, Disinfectants, IV Cannulas, Catheters</t>
        </is>
      </c>
      <c r="G42" t="inlineStr"/>
      <c r="H42" t="inlineStr">
        <is>
          <t>https://www.medzell.net/main-categories-application/therapeutic-devices/</t>
        </is>
      </c>
      <c r="I42" t="inlineStr">
        <is>
          <t>mia@anbangmedical.com</t>
        </is>
      </c>
      <c r="L42" t="inlineStr">
        <is>
          <t>Stated</t>
        </is>
      </c>
      <c r="M42" t="inlineStr"/>
      <c r="N42" t="inlineStr">
        <is>
          <t>TUV</t>
        </is>
      </c>
      <c r="O42" t="inlineStr">
        <is>
          <t>https://www.medzell.net/company/anbang-medical-supplies/</t>
        </is>
      </c>
      <c r="Q42" t="n">
        <v>10</v>
      </c>
      <c r="R42">
        <f>IF(Q42="","",IF(Q42&gt;=60,"HIGH",IF(Q42&gt;=30,"MEDIUM","LOW")))</f>
        <v/>
      </c>
      <c r="S42" t="inlineStr">
        <is>
          <t>New</t>
        </is>
      </c>
      <c r="T42" t="inlineStr">
        <is>
          <t>2026-03-05</t>
        </is>
      </c>
      <c r="U42" t="inlineStr">
        <is>
          <t>Seed=Medzell; Seed-file: output/medzell_company_urls.txt</t>
        </is>
      </c>
    </row>
    <row r="43">
      <c r="A43" t="n">
        <v>42</v>
      </c>
      <c r="B43" t="inlineStr">
        <is>
          <t>Angiplast Private Limited: Leading Medical Device Manufacturers in India</t>
        </is>
      </c>
      <c r="C43" t="inlineStr"/>
      <c r="D43" t="inlineStr">
        <is>
          <t>Manufacturer</t>
        </is>
      </c>
      <c r="E43" t="inlineStr">
        <is>
          <t>PPE</t>
        </is>
      </c>
      <c r="F43" t="inlineStr">
        <is>
          <t>Catheters, Wound Care, Syringes &amp; Needles, IV Infusion Sets, Lab Consumables, IV Cannulas, Gauze &amp; Bandages, Disinfectants, Gloves</t>
        </is>
      </c>
      <c r="G43" t="inlineStr"/>
      <c r="H43" t="inlineStr">
        <is>
          <t>https://www.medzell.net/main-categories-application/therapeutic-devices/</t>
        </is>
      </c>
      <c r="I43" t="inlineStr">
        <is>
          <t>marketing@angiplast.com</t>
        </is>
      </c>
      <c r="L43" t="inlineStr">
        <is>
          <t>Stated</t>
        </is>
      </c>
      <c r="M43" t="inlineStr">
        <is>
          <t>Stated</t>
        </is>
      </c>
      <c r="N43" t="inlineStr">
        <is>
          <t>FDA, GMP, TUV</t>
        </is>
      </c>
      <c r="O43" t="inlineStr">
        <is>
          <t>https://www.medzell.net/company/angiplast-private-limited/</t>
        </is>
      </c>
      <c r="Q43" t="n">
        <v>0</v>
      </c>
      <c r="R43">
        <f>IF(Q43="","",IF(Q43&gt;=60,"HIGH",IF(Q43&gt;=30,"MEDIUM","LOW")))</f>
        <v/>
      </c>
      <c r="S43" t="inlineStr">
        <is>
          <t>New</t>
        </is>
      </c>
      <c r="T43" t="inlineStr">
        <is>
          <t>2026-03-05</t>
        </is>
      </c>
      <c r="U43" t="inlineStr">
        <is>
          <t>Seed=Medzell; Seed-file: output/medzell_company_urls.txt</t>
        </is>
      </c>
    </row>
    <row r="44">
      <c r="A44" t="n">
        <v>43</v>
      </c>
      <c r="B44" t="inlineStr">
        <is>
          <t>Anigma Enterprise: Leading Manufacturer &amp; Global Supplier of Laparoscopic Instruments in India</t>
        </is>
      </c>
      <c r="C44" t="inlineStr"/>
      <c r="D44" t="inlineStr">
        <is>
          <t>Manufacturer</t>
        </is>
      </c>
      <c r="E44" t="inlineStr">
        <is>
          <t>PPE</t>
        </is>
      </c>
      <c r="F44" t="inlineStr">
        <is>
          <t>Wound Care, Lab Consumables, Syringes &amp; Needles, IV Infusion Sets, Gauze &amp; Bandages, Disinfectants, IV Cannulas, Catheters</t>
        </is>
      </c>
      <c r="G44" t="inlineStr"/>
      <c r="H44" t="inlineStr">
        <is>
          <t>https://www.medzell.net/main-categories-application/therapeutic-devices/</t>
        </is>
      </c>
      <c r="I44" t="inlineStr">
        <is>
          <t>anigmaexports@gmail.com</t>
        </is>
      </c>
      <c r="L44" t="inlineStr"/>
      <c r="M44" t="inlineStr"/>
      <c r="N44" t="inlineStr">
        <is>
          <t>FDA, GMP, TUV</t>
        </is>
      </c>
      <c r="O44" t="inlineStr">
        <is>
          <t>https://www.medzell.net/company/anigma-enterprise/</t>
        </is>
      </c>
      <c r="Q44" t="n">
        <v>45</v>
      </c>
      <c r="R44">
        <f>IF(Q44="","",IF(Q44&gt;=60,"HIGH",IF(Q44&gt;=30,"MEDIUM","LOW")))</f>
        <v/>
      </c>
      <c r="S44" t="inlineStr">
        <is>
          <t>New</t>
        </is>
      </c>
      <c r="T44" t="inlineStr">
        <is>
          <t>2026-03-05</t>
        </is>
      </c>
      <c r="U44" t="inlineStr">
        <is>
          <t>Seed=Medzell; Seed-file: output/medzell_company_urls.txt</t>
        </is>
      </c>
    </row>
    <row r="45">
      <c r="A45" t="n">
        <v>44</v>
      </c>
      <c r="B45" t="inlineStr">
        <is>
          <t>Anping Guardian Medical Equipment Co., Ltd. – Premium Emergency Medical Products | OEM/ODM Manufacturer of First Aid Kits &amp; More       Ask ChatGPT</t>
        </is>
      </c>
      <c r="C45" t="inlineStr"/>
      <c r="D45" t="inlineStr">
        <is>
          <t>Manufacturer</t>
        </is>
      </c>
      <c r="E45" t="inlineStr">
        <is>
          <t>PPE</t>
        </is>
      </c>
      <c r="F45" t="inlineStr">
        <is>
          <t>Wound Care, Lab Consumables, Syringes &amp; Needles, IV Infusion Sets, Gauze &amp; Bandages, Disinfectants, IV Cannulas, Catheters</t>
        </is>
      </c>
      <c r="G45" t="inlineStr"/>
      <c r="H45" t="inlineStr">
        <is>
          <t>https://www.medzell.net/main-categories-application/therapeutic-devices/</t>
        </is>
      </c>
      <c r="I45" t="inlineStr">
        <is>
          <t>sales4@splint.cn</t>
        </is>
      </c>
      <c r="L45" t="inlineStr">
        <is>
          <t>Stated</t>
        </is>
      </c>
      <c r="M45" t="inlineStr"/>
      <c r="N45" t="inlineStr">
        <is>
          <t>TUV</t>
        </is>
      </c>
      <c r="O45" t="inlineStr">
        <is>
          <t>https://www.medzell.net/company/anping-guardian-medical-equipment-co-ltd/</t>
        </is>
      </c>
      <c r="Q45" t="n">
        <v>10</v>
      </c>
      <c r="R45">
        <f>IF(Q45="","",IF(Q45&gt;=60,"HIGH",IF(Q45&gt;=30,"MEDIUM","LOW")))</f>
        <v/>
      </c>
      <c r="S45" t="inlineStr">
        <is>
          <t>New</t>
        </is>
      </c>
      <c r="T45" t="inlineStr">
        <is>
          <t>2026-03-05</t>
        </is>
      </c>
      <c r="U45" t="inlineStr">
        <is>
          <t>Seed=Medzell; Seed-file: output/medzell_company_urls.txt</t>
        </is>
      </c>
    </row>
    <row r="46">
      <c r="A46" t="n">
        <v>45</v>
      </c>
      <c r="B46" t="inlineStr">
        <is>
          <t>AoneS Labs: Leading Manufacturer &amp; Exporter of High-Quality Medical Devices</t>
        </is>
      </c>
      <c r="C46" t="inlineStr"/>
      <c r="D46" t="inlineStr">
        <is>
          <t>Manufacturer</t>
        </is>
      </c>
      <c r="E46" t="inlineStr">
        <is>
          <t>PPE</t>
        </is>
      </c>
      <c r="F46" t="inlineStr">
        <is>
          <t>Wound Care, Lab Consumables, Syringes &amp; Needles, IV Infusion Sets, Gauze &amp; Bandages, Disinfectants, IV Cannulas, Catheters</t>
        </is>
      </c>
      <c r="G46" t="inlineStr"/>
      <c r="H46" t="inlineStr">
        <is>
          <t>https://www.medzell.net/main-categories-application/therapeutic-devices/</t>
        </is>
      </c>
      <c r="I46" t="inlineStr">
        <is>
          <t>sayalit@crescendoworldwide.org</t>
        </is>
      </c>
      <c r="L46" t="inlineStr">
        <is>
          <t>Stated</t>
        </is>
      </c>
      <c r="M46" t="inlineStr"/>
      <c r="N46" t="inlineStr">
        <is>
          <t>TUV</t>
        </is>
      </c>
      <c r="O46" t="inlineStr">
        <is>
          <t>https://www.medzell.net/company/aones-labs/</t>
        </is>
      </c>
      <c r="Q46" t="n">
        <v>10</v>
      </c>
      <c r="R46">
        <f>IF(Q46="","",IF(Q46&gt;=60,"HIGH",IF(Q46&gt;=30,"MEDIUM","LOW")))</f>
        <v/>
      </c>
      <c r="S46" t="inlineStr">
        <is>
          <t>New</t>
        </is>
      </c>
      <c r="T46" t="inlineStr">
        <is>
          <t>2026-03-05</t>
        </is>
      </c>
      <c r="U46" t="inlineStr">
        <is>
          <t>Seed=Medzell; Seed-file: output/medzell_company_urls.txt</t>
        </is>
      </c>
    </row>
    <row r="47">
      <c r="A47" t="n">
        <v>46</v>
      </c>
      <c r="B47" t="inlineStr">
        <is>
          <t>High-Quality Medical Devices for Orthopedic Rehabilitation and Oncology Needs | Arambans Exporters (Pvt) Ltd.</t>
        </is>
      </c>
      <c r="C47" t="inlineStr"/>
      <c r="D47" t="inlineStr">
        <is>
          <t>Manufacturer</t>
        </is>
      </c>
      <c r="E47" t="inlineStr">
        <is>
          <t>PPE</t>
        </is>
      </c>
      <c r="F47" t="inlineStr">
        <is>
          <t>Gauze &amp; Bandages, Wound Care, Gloves, Lab Consumables, Syringes &amp; Needles, IV Infusion Sets, Disinfectants, IV Cannulas, Catheters</t>
        </is>
      </c>
      <c r="G47" t="inlineStr"/>
      <c r="H47" t="inlineStr">
        <is>
          <t>https://www.medzell.net/main-categories-application/therapeutic-devices/</t>
        </is>
      </c>
      <c r="I47" t="inlineStr">
        <is>
          <t>careforindiaenq@gmail.com</t>
        </is>
      </c>
      <c r="L47" t="inlineStr">
        <is>
          <t>Stated</t>
        </is>
      </c>
      <c r="M47" t="inlineStr"/>
      <c r="N47" t="inlineStr">
        <is>
          <t>TUV</t>
        </is>
      </c>
      <c r="O47" t="inlineStr">
        <is>
          <t>https://www.medzell.net/company/arambans-exporters-pvt-ltd/</t>
        </is>
      </c>
      <c r="Q47" t="n">
        <v>30</v>
      </c>
      <c r="R47">
        <f>IF(Q47="","",IF(Q47&gt;=60,"HIGH",IF(Q47&gt;=30,"MEDIUM","LOW")))</f>
        <v/>
      </c>
      <c r="S47" t="inlineStr">
        <is>
          <t>New</t>
        </is>
      </c>
      <c r="T47" t="inlineStr">
        <is>
          <t>2026-03-05</t>
        </is>
      </c>
      <c r="U47" t="inlineStr">
        <is>
          <t>Seed=Medzell; Seed-file: output/medzell_company_urls.txt</t>
        </is>
      </c>
    </row>
    <row r="48">
      <c r="A48" t="n">
        <v>47</v>
      </c>
      <c r="B48" t="inlineStr">
        <is>
          <t>Revolutionizing Assisted Living: Arcatron Mobility - Innovative Solutions for Rehabilitation &amp; Physiotherapy Devices</t>
        </is>
      </c>
      <c r="C48" t="inlineStr"/>
      <c r="D48" t="inlineStr">
        <is>
          <t>Manufacturer</t>
        </is>
      </c>
      <c r="E48" t="inlineStr">
        <is>
          <t>PPE</t>
        </is>
      </c>
      <c r="F48" t="inlineStr">
        <is>
          <t>Wound Care, Lab Consumables, Syringes &amp; Needles, IV Infusion Sets, Gauze &amp; Bandages, Disinfectants, IV Cannulas, Catheters</t>
        </is>
      </c>
      <c r="G48" t="inlineStr"/>
      <c r="H48" t="inlineStr">
        <is>
          <t>https://www.medzell.net/main-categories-application/therapeutic-devices/</t>
        </is>
      </c>
      <c r="I48" t="inlineStr">
        <is>
          <t>savio.a@arcatron.com</t>
        </is>
      </c>
      <c r="L48" t="inlineStr"/>
      <c r="M48" t="inlineStr"/>
      <c r="N48" t="inlineStr">
        <is>
          <t>FDA, TUV</t>
        </is>
      </c>
      <c r="O48" t="inlineStr">
        <is>
          <t>https://www.medzell.net/company/arcatron-mobility-private-limited/</t>
        </is>
      </c>
      <c r="Q48" t="n">
        <v>25</v>
      </c>
      <c r="R48">
        <f>IF(Q48="","",IF(Q48&gt;=60,"HIGH",IF(Q48&gt;=30,"MEDIUM","LOW")))</f>
        <v/>
      </c>
      <c r="S48" t="inlineStr">
        <is>
          <t>New</t>
        </is>
      </c>
      <c r="T48" t="inlineStr">
        <is>
          <t>2026-03-05</t>
        </is>
      </c>
      <c r="U48" t="inlineStr">
        <is>
          <t>Seed=Medzell; Seed-file: output/medzell_company_urls.txt</t>
        </is>
      </c>
    </row>
    <row r="49">
      <c r="A49" t="n">
        <v>48</v>
      </c>
      <c r="B49" t="inlineStr">
        <is>
          <t>ARVS Equipments: Leading Manufacturer of Biomedical Waste Management Products</t>
        </is>
      </c>
      <c r="C49" t="inlineStr"/>
      <c r="D49" t="inlineStr">
        <is>
          <t>Manufacturer</t>
        </is>
      </c>
      <c r="E49" t="inlineStr">
        <is>
          <t>PPE</t>
        </is>
      </c>
      <c r="F49" t="inlineStr">
        <is>
          <t>Wound Care, Lab Consumables, Syringes &amp; Needles, IV Infusion Sets, Gauze &amp; Bandages, Disinfectants, IV Cannulas, Catheters</t>
        </is>
      </c>
      <c r="G49" t="inlineStr"/>
      <c r="H49" t="inlineStr">
        <is>
          <t>https://www.medzell.net/main-categories-application/therapeutic-devices/</t>
        </is>
      </c>
      <c r="I49" t="inlineStr">
        <is>
          <t>dilip@arvsequipments.com</t>
        </is>
      </c>
      <c r="L49" t="inlineStr">
        <is>
          <t>Stated</t>
        </is>
      </c>
      <c r="M49" t="inlineStr"/>
      <c r="N49" t="inlineStr">
        <is>
          <t>TUV</t>
        </is>
      </c>
      <c r="O49" t="inlineStr">
        <is>
          <t>https://www.medzell.net/company/arvs-equipments-private-limited/</t>
        </is>
      </c>
      <c r="Q49" t="n">
        <v>10</v>
      </c>
      <c r="R49">
        <f>IF(Q49="","",IF(Q49&gt;=60,"HIGH",IF(Q49&gt;=30,"MEDIUM","LOW")))</f>
        <v/>
      </c>
      <c r="S49" t="inlineStr">
        <is>
          <t>New</t>
        </is>
      </c>
      <c r="T49" t="inlineStr">
        <is>
          <t>2026-03-05</t>
        </is>
      </c>
      <c r="U49" t="inlineStr">
        <is>
          <t>Seed=Medzell; Seed-file: output/medzell_company_urls.txt</t>
        </is>
      </c>
    </row>
    <row r="50">
      <c r="A50" t="n">
        <v>49</v>
      </c>
      <c r="B50" t="inlineStr">
        <is>
          <t>High-Quality Hospital Furniture Manufacturer &amp; Supplier in India - A.S Medisteel</t>
        </is>
      </c>
      <c r="C50" t="inlineStr"/>
      <c r="D50" t="inlineStr">
        <is>
          <t>Manufacturer</t>
        </is>
      </c>
      <c r="E50" t="inlineStr">
        <is>
          <t>PPE</t>
        </is>
      </c>
      <c r="F50" t="inlineStr">
        <is>
          <t>Wound Care, Lab Consumables, Syringes &amp; Needles, IV Infusion Sets, Gauze &amp; Bandages, Disinfectants, IV Cannulas, Catheters</t>
        </is>
      </c>
      <c r="G50" t="inlineStr"/>
      <c r="H50" t="inlineStr">
        <is>
          <t>https://www.medzell.net/main-categories-application/therapeutic-devices/</t>
        </is>
      </c>
      <c r="I50" t="inlineStr">
        <is>
          <t>amarjeetmishra7@gmail.com</t>
        </is>
      </c>
      <c r="L50" t="inlineStr"/>
      <c r="M50" t="inlineStr"/>
      <c r="N50" t="inlineStr">
        <is>
          <t>GMP, TUV</t>
        </is>
      </c>
      <c r="O50" t="inlineStr">
        <is>
          <t>https://www.medzell.net/company/as-medisteel/</t>
        </is>
      </c>
      <c r="Q50" t="n">
        <v>45</v>
      </c>
      <c r="R50">
        <f>IF(Q50="","",IF(Q50&gt;=60,"HIGH",IF(Q50&gt;=30,"MEDIUM","LOW")))</f>
        <v/>
      </c>
      <c r="S50" t="inlineStr">
        <is>
          <t>New</t>
        </is>
      </c>
      <c r="T50" t="inlineStr">
        <is>
          <t>2026-03-05</t>
        </is>
      </c>
      <c r="U50" t="inlineStr">
        <is>
          <t>Seed=Medzell; Seed-file: output/medzell_company_urls.txt</t>
        </is>
      </c>
    </row>
    <row r="51">
      <c r="A51" t="n">
        <v>50</v>
      </c>
      <c r="B51" t="inlineStr">
        <is>
          <t>High-Quality Ophthalmic Equipment and Consumables | A.S.F. Universal</t>
        </is>
      </c>
      <c r="C51" t="inlineStr"/>
      <c r="D51" t="inlineStr">
        <is>
          <t>Manufacturer</t>
        </is>
      </c>
      <c r="E51" t="inlineStr">
        <is>
          <t>PPE</t>
        </is>
      </c>
      <c r="F51" t="inlineStr">
        <is>
          <t>Wound Care, Lab Consumables, Syringes &amp; Needles, IV Infusion Sets, Gauze &amp; Bandages, Disinfectants, IV Cannulas, Catheters</t>
        </is>
      </c>
      <c r="G51" t="inlineStr"/>
      <c r="H51" t="inlineStr">
        <is>
          <t>https://www.medzell.net/main-categories-application/therapeutic-devices/</t>
        </is>
      </c>
      <c r="I51" t="inlineStr">
        <is>
          <t>asfuniversalx2@gmail.com</t>
        </is>
      </c>
      <c r="L51" t="inlineStr">
        <is>
          <t>Stated</t>
        </is>
      </c>
      <c r="M51" t="inlineStr"/>
      <c r="N51" t="inlineStr">
        <is>
          <t>TUV</t>
        </is>
      </c>
      <c r="O51" t="inlineStr">
        <is>
          <t>https://www.medzell.net/company/asf-universal/</t>
        </is>
      </c>
      <c r="Q51" t="n">
        <v>30</v>
      </c>
      <c r="R51">
        <f>IF(Q51="","",IF(Q51&gt;=60,"HIGH",IF(Q51&gt;=30,"MEDIUM","LOW")))</f>
        <v/>
      </c>
      <c r="S51" t="inlineStr">
        <is>
          <t>New</t>
        </is>
      </c>
      <c r="T51" t="inlineStr">
        <is>
          <t>2026-03-05</t>
        </is>
      </c>
      <c r="U51" t="inlineStr">
        <is>
          <t>Seed=Medzell; Seed-file: output/medzell_company_urls.txt</t>
        </is>
      </c>
    </row>
    <row r="52">
      <c r="A52" t="n">
        <v>51</v>
      </c>
      <c r="B52" t="inlineStr">
        <is>
          <t>High-Quality Healthcare and Medical Products | ASKP Solutions</t>
        </is>
      </c>
      <c r="C52" t="inlineStr"/>
      <c r="D52" t="inlineStr">
        <is>
          <t>Manufacturer</t>
        </is>
      </c>
      <c r="E52" t="inlineStr">
        <is>
          <t>Catheters</t>
        </is>
      </c>
      <c r="F52" t="inlineStr">
        <is>
          <t>PPE, Wound Care, Lab Consumables, Syringes &amp; Needles, IV Infusion Sets, Gauze &amp; Bandages, Disinfectants, IV Cannulas</t>
        </is>
      </c>
      <c r="G52" t="inlineStr"/>
      <c r="H52" t="inlineStr">
        <is>
          <t>https://www.medzell.net/main-categories-application/therapeutic-devices/</t>
        </is>
      </c>
      <c r="I52" t="inlineStr">
        <is>
          <t>askpsolutions@gmail.com</t>
        </is>
      </c>
      <c r="L52" t="inlineStr">
        <is>
          <t>Stated</t>
        </is>
      </c>
      <c r="M52" t="inlineStr">
        <is>
          <t>Stated</t>
        </is>
      </c>
      <c r="N52" t="inlineStr">
        <is>
          <t>TUV</t>
        </is>
      </c>
      <c r="O52" t="inlineStr">
        <is>
          <t>https://www.medzell.net/company/askp-solutions/</t>
        </is>
      </c>
      <c r="Q52" t="n">
        <v>20</v>
      </c>
      <c r="R52">
        <f>IF(Q52="","",IF(Q52&gt;=60,"HIGH",IF(Q52&gt;=30,"MEDIUM","LOW")))</f>
        <v/>
      </c>
      <c r="S52" t="inlineStr">
        <is>
          <t>New</t>
        </is>
      </c>
      <c r="T52" t="inlineStr">
        <is>
          <t>2026-03-05</t>
        </is>
      </c>
      <c r="U52" t="inlineStr">
        <is>
          <t>Seed=Medzell; Seed-file: output/medzell_company_urls.txt</t>
        </is>
      </c>
    </row>
    <row r="53">
      <c r="A53" t="n">
        <v>52</v>
      </c>
      <c r="B53" t="inlineStr">
        <is>
          <t>Aspinwall Healthcare | Leading Manufacturer of Ligation Devices</t>
        </is>
      </c>
      <c r="C53" t="inlineStr"/>
      <c r="D53" t="inlineStr">
        <is>
          <t>Manufacturer</t>
        </is>
      </c>
      <c r="E53" t="inlineStr">
        <is>
          <t>PPE</t>
        </is>
      </c>
      <c r="F53" t="inlineStr">
        <is>
          <t>Wound Care, Lab Consumables, Syringes &amp; Needles, IV Infusion Sets, Gauze &amp; Bandages, Disinfectants, IV Cannulas, Catheters</t>
        </is>
      </c>
      <c r="G53" t="inlineStr"/>
      <c r="H53" t="inlineStr">
        <is>
          <t>https://www.medzell.net/main-categories-application/therapeutic-devices/</t>
        </is>
      </c>
      <c r="I53" t="inlineStr">
        <is>
          <t>arunmidevices@gmail.com</t>
        </is>
      </c>
      <c r="L53" t="inlineStr">
        <is>
          <t>Stated</t>
        </is>
      </c>
      <c r="M53" t="inlineStr"/>
      <c r="N53" t="inlineStr">
        <is>
          <t>TUV</t>
        </is>
      </c>
      <c r="O53" t="inlineStr">
        <is>
          <t>https://www.medzell.net/company/aspinwall-healthcare-pvt-ltd/</t>
        </is>
      </c>
      <c r="Q53" t="n">
        <v>30</v>
      </c>
      <c r="R53">
        <f>IF(Q53="","",IF(Q53&gt;=60,"HIGH",IF(Q53&gt;=30,"MEDIUM","LOW")))</f>
        <v/>
      </c>
      <c r="S53" t="inlineStr">
        <is>
          <t>New</t>
        </is>
      </c>
      <c r="T53" t="inlineStr">
        <is>
          <t>2026-03-05</t>
        </is>
      </c>
      <c r="U53" t="inlineStr">
        <is>
          <t>Seed=Medzell; Seed-file: output/medzell_company_urls.txt</t>
        </is>
      </c>
    </row>
    <row r="54">
      <c r="A54" t="n">
        <v>53</v>
      </c>
      <c r="B54" t="inlineStr">
        <is>
          <t>Aston Vision Sciences | Pioneering Accessible Eye Care Technology</t>
        </is>
      </c>
      <c r="C54" t="inlineStr"/>
      <c r="D54" t="inlineStr">
        <is>
          <t>Manufacturer</t>
        </is>
      </c>
      <c r="E54" t="inlineStr">
        <is>
          <t>PPE</t>
        </is>
      </c>
      <c r="F54" t="inlineStr">
        <is>
          <t>Wound Care, Lab Consumables, Syringes &amp; Needles, IV Infusion Sets, Gauze &amp; Bandages, Disinfectants, IV Cannulas, Catheters</t>
        </is>
      </c>
      <c r="G54" t="inlineStr"/>
      <c r="H54" t="inlineStr">
        <is>
          <t>https://www.medzell.net/main-categories-application/therapeutic-devices/</t>
        </is>
      </c>
      <c r="I54" t="inlineStr">
        <is>
          <t>karl@astonvisionsciences.com</t>
        </is>
      </c>
      <c r="L54" t="inlineStr">
        <is>
          <t>Stated</t>
        </is>
      </c>
      <c r="M54" t="inlineStr"/>
      <c r="N54" t="inlineStr">
        <is>
          <t>TUV</t>
        </is>
      </c>
      <c r="O54" t="inlineStr">
        <is>
          <t>https://www.medzell.net/company/aston-vision-sciences/</t>
        </is>
      </c>
      <c r="Q54" t="n">
        <v>10</v>
      </c>
      <c r="R54">
        <f>IF(Q54="","",IF(Q54&gt;=60,"HIGH",IF(Q54&gt;=30,"MEDIUM","LOW")))</f>
        <v/>
      </c>
      <c r="S54" t="inlineStr">
        <is>
          <t>New</t>
        </is>
      </c>
      <c r="T54" t="inlineStr">
        <is>
          <t>2026-03-05</t>
        </is>
      </c>
      <c r="U54" t="inlineStr">
        <is>
          <t>Seed=Medzell; Seed-file: output/medzell_company_urls.txt</t>
        </is>
      </c>
    </row>
    <row r="55">
      <c r="A55" t="n">
        <v>54</v>
      </c>
      <c r="B55" t="inlineStr">
        <is>
          <t>Auctus Healthcare: Your Ultimate Source for Medical Needs &amp; Covid-19 Protection</t>
        </is>
      </c>
      <c r="C55" t="inlineStr"/>
      <c r="D55" t="inlineStr">
        <is>
          <t>Manufacturer</t>
        </is>
      </c>
      <c r="E55" t="inlineStr">
        <is>
          <t>PPE</t>
        </is>
      </c>
      <c r="F55" t="inlineStr">
        <is>
          <t>Wound Care, Gloves, Lab Consumables, Syringes &amp; Needles, IV Infusion Sets, Gauze &amp; Bandages, Disinfectants, IV Cannulas, Catheters</t>
        </is>
      </c>
      <c r="G55" t="inlineStr"/>
      <c r="H55" t="inlineStr">
        <is>
          <t>https://www.medzell.net/main-categories-application/therapeutic-devices/</t>
        </is>
      </c>
      <c r="I55" t="inlineStr">
        <is>
          <t>info@auctushealthcare.com</t>
        </is>
      </c>
      <c r="L55" t="inlineStr"/>
      <c r="M55" t="inlineStr"/>
      <c r="N55" t="inlineStr">
        <is>
          <t>TUV</t>
        </is>
      </c>
      <c r="O55" t="inlineStr">
        <is>
          <t>https://www.medzell.net/company/auctus-healthcare-general-pvt-ltd/</t>
        </is>
      </c>
      <c r="Q55" t="n">
        <v>25</v>
      </c>
      <c r="R55">
        <f>IF(Q55="","",IF(Q55&gt;=60,"HIGH",IF(Q55&gt;=30,"MEDIUM","LOW")))</f>
        <v/>
      </c>
      <c r="S55" t="inlineStr">
        <is>
          <t>New</t>
        </is>
      </c>
      <c r="T55" t="inlineStr">
        <is>
          <t>2026-03-05</t>
        </is>
      </c>
      <c r="U55" t="inlineStr">
        <is>
          <t>Seed=Medzell; Seed-file: output/medzell_company_urls.txt</t>
        </is>
      </c>
    </row>
    <row r="56">
      <c r="A56" t="n">
        <v>55</v>
      </c>
      <c r="B56" t="inlineStr">
        <is>
          <t>Premium Ophthalmic Consumables and Medical Devices | Aurolab</t>
        </is>
      </c>
      <c r="C56" t="inlineStr"/>
      <c r="D56" t="inlineStr">
        <is>
          <t>Manufacturer</t>
        </is>
      </c>
      <c r="E56" t="inlineStr">
        <is>
          <t>PPE</t>
        </is>
      </c>
      <c r="F56" t="inlineStr">
        <is>
          <t>Wound Care, Disinfectants, Lab Consumables, Syringes &amp; Needles, IV Infusion Sets, Gauze &amp; Bandages, IV Cannulas, Catheters</t>
        </is>
      </c>
      <c r="G56" t="inlineStr"/>
      <c r="H56" t="inlineStr">
        <is>
          <t>https://www.medzell.net/main-categories-application/therapeutic-devices/</t>
        </is>
      </c>
      <c r="I56" t="inlineStr">
        <is>
          <t>avsight@gmail.com</t>
        </is>
      </c>
      <c r="L56" t="inlineStr">
        <is>
          <t>Stated</t>
        </is>
      </c>
      <c r="M56" t="inlineStr"/>
      <c r="N56" t="inlineStr">
        <is>
          <t>FDA, GMP, TUV</t>
        </is>
      </c>
      <c r="O56" t="inlineStr">
        <is>
          <t>https://www.medzell.net/company/aurolab/</t>
        </is>
      </c>
      <c r="Q56" t="n">
        <v>30</v>
      </c>
      <c r="R56">
        <f>IF(Q56="","",IF(Q56&gt;=60,"HIGH",IF(Q56&gt;=30,"MEDIUM","LOW")))</f>
        <v/>
      </c>
      <c r="S56" t="inlineStr">
        <is>
          <t>New</t>
        </is>
      </c>
      <c r="T56" t="inlineStr">
        <is>
          <t>2026-03-05</t>
        </is>
      </c>
      <c r="U56" t="inlineStr">
        <is>
          <t>Seed=Medzell; Seed-file: output/medzell_company_urls.txt</t>
        </is>
      </c>
    </row>
    <row r="57">
      <c r="A57" t="n">
        <v>56</v>
      </c>
      <c r="B57" t="inlineStr">
        <is>
          <t>Aurus MedTech: Premier Manufacturer and Global Supplier of Cutting-Edge Medical and Surgical Consumables</t>
        </is>
      </c>
      <c r="C57" t="inlineStr"/>
      <c r="D57" t="inlineStr">
        <is>
          <t>Manufacturer</t>
        </is>
      </c>
      <c r="E57" t="inlineStr">
        <is>
          <t>PPE</t>
        </is>
      </c>
      <c r="F57" t="inlineStr">
        <is>
          <t>Wound Care, Catheters, Lab Consumables, Syringes &amp; Needles, IV Cannulas, IV Infusion Sets, Gauze &amp; Bandages, Disinfectants</t>
        </is>
      </c>
      <c r="G57" t="inlineStr"/>
      <c r="H57" t="inlineStr">
        <is>
          <t>https://www.medzell.net/main-categories-application/therapeutic-devices/</t>
        </is>
      </c>
      <c r="I57" t="inlineStr">
        <is>
          <t>pushvender.sales@aurusmedtech.com</t>
        </is>
      </c>
      <c r="L57" t="inlineStr">
        <is>
          <t>Stated</t>
        </is>
      </c>
      <c r="M57" t="inlineStr"/>
      <c r="N57" t="inlineStr">
        <is>
          <t>GMP, TUV</t>
        </is>
      </c>
      <c r="O57" t="inlineStr">
        <is>
          <t>https://www.medzell.net/company/aurus-medtech-pvt-ltd/</t>
        </is>
      </c>
      <c r="Q57" t="n">
        <v>10</v>
      </c>
      <c r="R57">
        <f>IF(Q57="","",IF(Q57&gt;=60,"HIGH",IF(Q57&gt;=30,"MEDIUM","LOW")))</f>
        <v/>
      </c>
      <c r="S57" t="inlineStr">
        <is>
          <t>New</t>
        </is>
      </c>
      <c r="T57" t="inlineStr">
        <is>
          <t>2026-03-05</t>
        </is>
      </c>
      <c r="U57" t="inlineStr">
        <is>
          <t>Seed=Medzell; Seed-file: output/medzell_company_urls.txt</t>
        </is>
      </c>
    </row>
    <row r="58">
      <c r="A58" t="n">
        <v>57</v>
      </c>
      <c r="B58" t="inlineStr">
        <is>
          <t>Avecon Healthcare Private Limited</t>
        </is>
      </c>
      <c r="C58" t="inlineStr"/>
      <c r="D58" t="inlineStr">
        <is>
          <t>Manufacturer</t>
        </is>
      </c>
      <c r="E58" t="inlineStr">
        <is>
          <t>PPE</t>
        </is>
      </c>
      <c r="F58" t="inlineStr">
        <is>
          <t>Wound Care, Lab Consumables, Syringes &amp; Needles, IV Infusion Sets, Gauze &amp; Bandages, Disinfectants, IV Cannulas, Catheters</t>
        </is>
      </c>
      <c r="G58" t="inlineStr"/>
      <c r="H58" t="inlineStr">
        <is>
          <t>https://www.medzell.net/main-categories-application/therapeutic-devices/</t>
        </is>
      </c>
      <c r="I58" t="inlineStr">
        <is>
          <t>prabhat@aveconhealthcare.com</t>
        </is>
      </c>
      <c r="L58" t="inlineStr">
        <is>
          <t>Stated</t>
        </is>
      </c>
      <c r="M58" t="inlineStr"/>
      <c r="N58" t="inlineStr">
        <is>
          <t>TUV</t>
        </is>
      </c>
      <c r="O58" t="inlineStr">
        <is>
          <t>https://www.medzell.net/company/avecon-healthcare-pvt-ltd/</t>
        </is>
      </c>
      <c r="Q58" t="n">
        <v>10</v>
      </c>
      <c r="R58">
        <f>IF(Q58="","",IF(Q58&gt;=60,"HIGH",IF(Q58&gt;=30,"MEDIUM","LOW")))</f>
        <v/>
      </c>
      <c r="S58" t="inlineStr">
        <is>
          <t>New</t>
        </is>
      </c>
      <c r="T58" t="inlineStr">
        <is>
          <t>2026-03-05</t>
        </is>
      </c>
      <c r="U58" t="inlineStr">
        <is>
          <t>Seed=Medzell; Seed-file: output/medzell_company_urls.txt</t>
        </is>
      </c>
    </row>
    <row r="59">
      <c r="A59" t="n">
        <v>58</v>
      </c>
      <c r="B59" t="inlineStr">
        <is>
          <t>Affordable and Innovative Medical Equipment by AVI Healthcare Pvt. Ltd.</t>
        </is>
      </c>
      <c r="C59" t="inlineStr"/>
      <c r="D59" t="inlineStr">
        <is>
          <t>Manufacturer</t>
        </is>
      </c>
      <c r="E59" t="inlineStr">
        <is>
          <t>PPE</t>
        </is>
      </c>
      <c r="F59" t="inlineStr">
        <is>
          <t>Wound Care, Lab Consumables, Syringes &amp; Needles, IV Infusion Sets, Gauze &amp; Bandages, Disinfectants, IV Cannulas, Catheters</t>
        </is>
      </c>
      <c r="G59" t="inlineStr"/>
      <c r="H59" t="inlineStr">
        <is>
          <t>https://www.medzell.net/main-categories-application/therapeutic-devices/</t>
        </is>
      </c>
      <c r="I59" t="inlineStr">
        <is>
          <t>sales@avihealthcare.com</t>
        </is>
      </c>
      <c r="L59" t="inlineStr">
        <is>
          <t>Stated</t>
        </is>
      </c>
      <c r="M59" t="inlineStr"/>
      <c r="N59" t="inlineStr">
        <is>
          <t>TUV</t>
        </is>
      </c>
      <c r="O59" t="inlineStr">
        <is>
          <t>https://www.medzell.net/company/avi-healthcare-pvt-ltd/</t>
        </is>
      </c>
      <c r="Q59" t="n">
        <v>10</v>
      </c>
      <c r="R59">
        <f>IF(Q59="","",IF(Q59&gt;=60,"HIGH",IF(Q59&gt;=30,"MEDIUM","LOW")))</f>
        <v/>
      </c>
      <c r="S59" t="inlineStr">
        <is>
          <t>New</t>
        </is>
      </c>
      <c r="T59" t="inlineStr">
        <is>
          <t>2026-03-05</t>
        </is>
      </c>
      <c r="U59" t="inlineStr">
        <is>
          <t>Seed=Medzell; Seed-file: output/medzell_company_urls.txt</t>
        </is>
      </c>
    </row>
    <row r="60">
      <c r="A60" t="n">
        <v>59</v>
      </c>
      <c r="B60" t="inlineStr">
        <is>
          <t>Leading Manufacturer of Biomaterial-Based Medical Devices | Axio Biosolutions</t>
        </is>
      </c>
      <c r="C60" t="inlineStr"/>
      <c r="D60" t="inlineStr">
        <is>
          <t>Manufacturer</t>
        </is>
      </c>
      <c r="E60" t="inlineStr">
        <is>
          <t>PPE</t>
        </is>
      </c>
      <c r="F60" t="inlineStr">
        <is>
          <t>Wound Care, Lab Consumables, Syringes &amp; Needles, IV Infusion Sets, Gauze &amp; Bandages, Disinfectants, IV Cannulas, Catheters</t>
        </is>
      </c>
      <c r="G60" t="inlineStr"/>
      <c r="H60" t="inlineStr">
        <is>
          <t>https://www.medzell.net/main-categories-application/therapeutic-devices/</t>
        </is>
      </c>
      <c r="I60" t="inlineStr">
        <is>
          <t>william.r@axiobio.com</t>
        </is>
      </c>
      <c r="L60" t="inlineStr">
        <is>
          <t>Stated</t>
        </is>
      </c>
      <c r="M60" t="inlineStr">
        <is>
          <t>Stated</t>
        </is>
      </c>
      <c r="N60" t="inlineStr">
        <is>
          <t>FDA, GMP, TUV</t>
        </is>
      </c>
      <c r="O60" t="inlineStr">
        <is>
          <t>https://www.medzell.net/company/axio-biosolutions-private-limited/</t>
        </is>
      </c>
      <c r="Q60" t="n">
        <v>0</v>
      </c>
      <c r="R60">
        <f>IF(Q60="","",IF(Q60&gt;=60,"HIGH",IF(Q60&gt;=30,"MEDIUM","LOW")))</f>
        <v/>
      </c>
      <c r="S60" t="inlineStr">
        <is>
          <t>New</t>
        </is>
      </c>
      <c r="T60" t="inlineStr">
        <is>
          <t>2026-03-05</t>
        </is>
      </c>
      <c r="U60" t="inlineStr">
        <is>
          <t>Seed=Medzell; Seed-file: output/medzell_company_urls.txt</t>
        </is>
      </c>
    </row>
    <row r="61">
      <c r="A61" t="n">
        <v>60</v>
      </c>
      <c r="B61" t="inlineStr">
        <is>
          <t>Discover Cutting-Edge Medical Devices and Solutions with Axon Medical Solutions - India's Premier Manufacturer and Global Supplier</t>
        </is>
      </c>
      <c r="C61" t="inlineStr"/>
      <c r="D61" t="inlineStr">
        <is>
          <t>Manufacturer</t>
        </is>
      </c>
      <c r="E61" t="inlineStr">
        <is>
          <t>PPE</t>
        </is>
      </c>
      <c r="F61" t="inlineStr">
        <is>
          <t>Wound Care, Lab Consumables, Syringes &amp; Needles, IV Infusion Sets, Gauze &amp; Bandages, Disinfectants, IV Cannulas, Catheters</t>
        </is>
      </c>
      <c r="G61" t="inlineStr"/>
      <c r="H61" t="inlineStr">
        <is>
          <t>https://www.medzell.net/main-categories-application/therapeutic-devices/</t>
        </is>
      </c>
      <c r="I61" t="inlineStr">
        <is>
          <t>info@axonmedicalsolutions.com</t>
        </is>
      </c>
      <c r="L61" t="inlineStr">
        <is>
          <t>Stated</t>
        </is>
      </c>
      <c r="M61" t="inlineStr"/>
      <c r="N61" t="inlineStr">
        <is>
          <t>FDA, TUV</t>
        </is>
      </c>
      <c r="O61" t="inlineStr">
        <is>
          <t>https://www.medzell.net/company/axon-medical-solutions/</t>
        </is>
      </c>
      <c r="Q61" t="n">
        <v>10</v>
      </c>
      <c r="R61">
        <f>IF(Q61="","",IF(Q61&gt;=60,"HIGH",IF(Q61&gt;=30,"MEDIUM","LOW")))</f>
        <v/>
      </c>
      <c r="S61" t="inlineStr">
        <is>
          <t>New</t>
        </is>
      </c>
      <c r="T61" t="inlineStr">
        <is>
          <t>2026-03-05</t>
        </is>
      </c>
      <c r="U61" t="inlineStr">
        <is>
          <t>Seed=Medzell; Seed-file: output/medzell_company_urls.txt</t>
        </is>
      </c>
    </row>
    <row r="62">
      <c r="A62" t="n">
        <v>61</v>
      </c>
      <c r="B62" t="inlineStr">
        <is>
          <t>Balaji Surgical – Leading Provider of OT Room Equipment and Medical Devices</t>
        </is>
      </c>
      <c r="C62" t="inlineStr"/>
      <c r="D62" t="inlineStr">
        <is>
          <t>Manufacturer</t>
        </is>
      </c>
      <c r="E62" t="inlineStr">
        <is>
          <t>PPE</t>
        </is>
      </c>
      <c r="F62" t="inlineStr">
        <is>
          <t>Wound Care, Lab Consumables, Syringes &amp; Needles, IV Infusion Sets, Gauze &amp; Bandages, Disinfectants, IV Cannulas, Catheters</t>
        </is>
      </c>
      <c r="G62" t="inlineStr"/>
      <c r="H62" t="inlineStr">
        <is>
          <t>https://www.medzell.net/main-categories-application/therapeutic-devices/</t>
        </is>
      </c>
      <c r="I62" t="inlineStr">
        <is>
          <t>info@balajisurgical.com</t>
        </is>
      </c>
      <c r="L62" t="inlineStr">
        <is>
          <t>Stated</t>
        </is>
      </c>
      <c r="M62" t="inlineStr"/>
      <c r="N62" t="inlineStr">
        <is>
          <t>GMP, TUV</t>
        </is>
      </c>
      <c r="O62" t="inlineStr">
        <is>
          <t>https://www.medzell.net/company/balaji-surgical/</t>
        </is>
      </c>
      <c r="Q62" t="n">
        <v>10</v>
      </c>
      <c r="R62">
        <f>IF(Q62="","",IF(Q62&gt;=60,"HIGH",IF(Q62&gt;=30,"MEDIUM","LOW")))</f>
        <v/>
      </c>
      <c r="S62" t="inlineStr">
        <is>
          <t>New</t>
        </is>
      </c>
      <c r="T62" t="inlineStr">
        <is>
          <t>2026-03-05</t>
        </is>
      </c>
      <c r="U62" t="inlineStr">
        <is>
          <t>Seed=Medzell; Seed-file: output/medzell_company_urls.txt</t>
        </is>
      </c>
    </row>
    <row r="63">
      <c r="A63" t="n">
        <v>62</v>
      </c>
      <c r="B63" t="inlineStr">
        <is>
          <t>Transform Your Healthcare Facility with BBM Healthcare's Innovative Hospital Management Systems</t>
        </is>
      </c>
      <c r="C63" t="inlineStr"/>
      <c r="D63" t="inlineStr">
        <is>
          <t>Manufacturer</t>
        </is>
      </c>
      <c r="E63" t="inlineStr">
        <is>
          <t>PPE</t>
        </is>
      </c>
      <c r="F63" t="inlineStr">
        <is>
          <t>Wound Care, Lab Consumables, Syringes &amp; Needles, IV Infusion Sets, Gauze &amp; Bandages, Disinfectants, IV Cannulas, Catheters</t>
        </is>
      </c>
      <c r="G63" t="inlineStr"/>
      <c r="H63" t="inlineStr">
        <is>
          <t>https://www.medzell.net/main-categories-application/therapeutic-devices/</t>
        </is>
      </c>
      <c r="I63" t="inlineStr">
        <is>
          <t>Bbmhealthcare@gmail.com</t>
        </is>
      </c>
      <c r="L63" t="inlineStr"/>
      <c r="M63" t="inlineStr"/>
      <c r="N63" t="inlineStr">
        <is>
          <t>TUV</t>
        </is>
      </c>
      <c r="O63" t="inlineStr">
        <is>
          <t>https://www.medzell.net/company/bbm-healthcare/</t>
        </is>
      </c>
      <c r="Q63" t="n">
        <v>45</v>
      </c>
      <c r="R63">
        <f>IF(Q63="","",IF(Q63&gt;=60,"HIGH",IF(Q63&gt;=30,"MEDIUM","LOW")))</f>
        <v/>
      </c>
      <c r="S63" t="inlineStr">
        <is>
          <t>New</t>
        </is>
      </c>
      <c r="T63" t="inlineStr">
        <is>
          <t>2026-03-05</t>
        </is>
      </c>
      <c r="U63" t="inlineStr">
        <is>
          <t>Seed=Medzell; Seed-file: output/medzell_company_urls.txt</t>
        </is>
      </c>
    </row>
    <row r="64">
      <c r="A64" t="n">
        <v>63</v>
      </c>
      <c r="B64" t="inlineStr">
        <is>
          <t>Bercon Medical Device Co., Ltd. : Leading Manufacturer of Infusion Systems, Patient Monitoring &amp; Respiratory Care</t>
        </is>
      </c>
      <c r="C64" t="inlineStr"/>
      <c r="D64" t="inlineStr">
        <is>
          <t>Manufacturer</t>
        </is>
      </c>
      <c r="E64" t="inlineStr">
        <is>
          <t>PPE</t>
        </is>
      </c>
      <c r="F64" t="inlineStr">
        <is>
          <t>Wound Care, Lab Consumables, Syringes &amp; Needles, IV Infusion Sets, Gauze &amp; Bandages, Disinfectants, IV Cannulas, Catheters</t>
        </is>
      </c>
      <c r="G64" t="inlineStr"/>
      <c r="H64" t="inlineStr">
        <is>
          <t>https://www.medzell.net/main-categories-application/therapeutic-devices/</t>
        </is>
      </c>
      <c r="I64" t="inlineStr">
        <is>
          <t>sophia9903@gmail.com</t>
        </is>
      </c>
      <c r="L64" t="inlineStr">
        <is>
          <t>Stated</t>
        </is>
      </c>
      <c r="M64" t="inlineStr">
        <is>
          <t>Stated</t>
        </is>
      </c>
      <c r="N64" t="inlineStr">
        <is>
          <t>TUV</t>
        </is>
      </c>
      <c r="O64" t="inlineStr">
        <is>
          <t>https://www.medzell.net/company/bercon-medical/</t>
        </is>
      </c>
      <c r="Q64" t="n">
        <v>20</v>
      </c>
      <c r="R64">
        <f>IF(Q64="","",IF(Q64&gt;=60,"HIGH",IF(Q64&gt;=30,"MEDIUM","LOW")))</f>
        <v/>
      </c>
      <c r="S64" t="inlineStr">
        <is>
          <t>New</t>
        </is>
      </c>
      <c r="T64" t="inlineStr">
        <is>
          <t>2026-03-05</t>
        </is>
      </c>
      <c r="U64" t="inlineStr">
        <is>
          <t>Seed=Medzell; Seed-file: output/medzell_company_urls.txt</t>
        </is>
      </c>
    </row>
    <row r="65">
      <c r="A65" t="n">
        <v>64</v>
      </c>
      <c r="B65" t="inlineStr">
        <is>
          <t>Top Manufacturer of High-Quality Medical Gloves in India - Beta Healthcare Products Pvt. Ltd.</t>
        </is>
      </c>
      <c r="C65" t="inlineStr"/>
      <c r="D65" t="inlineStr">
        <is>
          <t>Manufacturer</t>
        </is>
      </c>
      <c r="E65" t="inlineStr">
        <is>
          <t>PPE</t>
        </is>
      </c>
      <c r="F65" t="inlineStr">
        <is>
          <t>Wound Care, Lab Consumables, Syringes &amp; Needles, IV Infusion Sets, Gloves, Gauze &amp; Bandages, Disinfectants, IV Cannulas, Catheters</t>
        </is>
      </c>
      <c r="G65" t="inlineStr"/>
      <c r="H65" t="inlineStr">
        <is>
          <t>https://www.medzell.net/main-categories-application/therapeutic-devices/</t>
        </is>
      </c>
      <c r="I65" t="inlineStr">
        <is>
          <t>cherian@betahealthcare.com</t>
        </is>
      </c>
      <c r="L65" t="inlineStr">
        <is>
          <t>Stated</t>
        </is>
      </c>
      <c r="M65" t="inlineStr"/>
      <c r="N65" t="inlineStr">
        <is>
          <t>FDA, GMP, TUV</t>
        </is>
      </c>
      <c r="O65" t="inlineStr">
        <is>
          <t>https://www.medzell.net/company/beta-healthcare-products-pvt-ltd/</t>
        </is>
      </c>
      <c r="Q65" t="n">
        <v>10</v>
      </c>
      <c r="R65">
        <f>IF(Q65="","",IF(Q65&gt;=60,"HIGH",IF(Q65&gt;=30,"MEDIUM","LOW")))</f>
        <v/>
      </c>
      <c r="S65" t="inlineStr">
        <is>
          <t>New</t>
        </is>
      </c>
      <c r="T65" t="inlineStr">
        <is>
          <t>2026-03-05</t>
        </is>
      </c>
      <c r="U65" t="inlineStr">
        <is>
          <t>Seed=Medzell; Seed-file: output/medzell_company_urls.txt</t>
        </is>
      </c>
    </row>
    <row r="66">
      <c r="A66" t="n">
        <v>65</v>
      </c>
      <c r="B66" t="inlineStr">
        <is>
          <t>Leading Manufacturer and Supplier of Disposable Drapes and Surgical Kits - Bio-Hyginx Pvt. Ltd.</t>
        </is>
      </c>
      <c r="C66" t="inlineStr"/>
      <c r="D66" t="inlineStr">
        <is>
          <t>Manufacturer</t>
        </is>
      </c>
      <c r="E66" t="inlineStr">
        <is>
          <t>PPE</t>
        </is>
      </c>
      <c r="F66" t="inlineStr">
        <is>
          <t>Wound Care, Lab Consumables, Syringes &amp; Needles, IV Infusion Sets, Gauze &amp; Bandages, Disinfectants, IV Cannulas, Catheters</t>
        </is>
      </c>
      <c r="G66" t="inlineStr"/>
      <c r="H66" t="inlineStr">
        <is>
          <t>https://www.medzell.net/main-categories-application/therapeutic-devices/</t>
        </is>
      </c>
      <c r="I66" t="inlineStr">
        <is>
          <t>bihyc111@gmail.com</t>
        </is>
      </c>
      <c r="L66" t="inlineStr">
        <is>
          <t>Stated</t>
        </is>
      </c>
      <c r="M66" t="inlineStr">
        <is>
          <t>Stated</t>
        </is>
      </c>
      <c r="N66" t="inlineStr">
        <is>
          <t>GMP, TUV</t>
        </is>
      </c>
      <c r="O66" t="inlineStr">
        <is>
          <t>https://www.medzell.net/company/bio-hyginx-pvt-ltd/</t>
        </is>
      </c>
      <c r="Q66" t="n">
        <v>20</v>
      </c>
      <c r="R66">
        <f>IF(Q66="","",IF(Q66&gt;=60,"HIGH",IF(Q66&gt;=30,"MEDIUM","LOW")))</f>
        <v/>
      </c>
      <c r="S66" t="inlineStr">
        <is>
          <t>New</t>
        </is>
      </c>
      <c r="T66" t="inlineStr">
        <is>
          <t>2026-03-05</t>
        </is>
      </c>
      <c r="U66" t="inlineStr">
        <is>
          <t>Seed=Medzell; Seed-file: output/medzell_company_urls.txt</t>
        </is>
      </c>
    </row>
    <row r="67">
      <c r="A67" t="n">
        <v>66</v>
      </c>
      <c r="B67" t="inlineStr">
        <is>
          <t>Bio Medical Devices - Leading Manufacturer of SS Trocars and Wound Drainage Instruments</t>
        </is>
      </c>
      <c r="C67" t="inlineStr"/>
      <c r="D67" t="inlineStr">
        <is>
          <t>Manufacturer</t>
        </is>
      </c>
      <c r="E67" t="inlineStr">
        <is>
          <t>PPE</t>
        </is>
      </c>
      <c r="F67" t="inlineStr">
        <is>
          <t>Wound Care, Lab Consumables, Syringes &amp; Needles, IV Infusion Sets, Gauze &amp; Bandages, Disinfectants, IV Cannulas, Catheters</t>
        </is>
      </c>
      <c r="G67" t="inlineStr"/>
      <c r="H67" t="inlineStr">
        <is>
          <t>https://www.medzell.net/main-categories-application/therapeutic-devices/</t>
        </is>
      </c>
      <c r="I67" t="inlineStr">
        <is>
          <t>hiten.biomedical@gmail.com</t>
        </is>
      </c>
      <c r="L67" t="inlineStr"/>
      <c r="M67" t="inlineStr"/>
      <c r="N67" t="inlineStr">
        <is>
          <t>TUV</t>
        </is>
      </c>
      <c r="O67" t="inlineStr">
        <is>
          <t>https://www.medzell.net/company/bio-medical-devices/</t>
        </is>
      </c>
      <c r="Q67" t="n">
        <v>45</v>
      </c>
      <c r="R67">
        <f>IF(Q67="","",IF(Q67&gt;=60,"HIGH",IF(Q67&gt;=30,"MEDIUM","LOW")))</f>
        <v/>
      </c>
      <c r="S67" t="inlineStr">
        <is>
          <t>New</t>
        </is>
      </c>
      <c r="T67" t="inlineStr">
        <is>
          <t>2026-03-05</t>
        </is>
      </c>
      <c r="U67" t="inlineStr">
        <is>
          <t>Seed=Medzell; Seed-file: output/medzell_company_urls.txt</t>
        </is>
      </c>
    </row>
    <row r="68">
      <c r="A68" t="n">
        <v>67</v>
      </c>
      <c r="B68" t="inlineStr">
        <is>
          <t>Top-Quality Modular Operation Theatres | BIO-X - Global Supplier</t>
        </is>
      </c>
      <c r="C68" t="inlineStr"/>
      <c r="D68" t="inlineStr">
        <is>
          <t>Manufacturer</t>
        </is>
      </c>
      <c r="E68" t="inlineStr">
        <is>
          <t>PPE</t>
        </is>
      </c>
      <c r="F68" t="inlineStr">
        <is>
          <t>Wound Care, Lab Consumables, Syringes &amp; Needles, IV Infusion Sets, Gauze &amp; Bandages, Disinfectants, IV Cannulas, Catheters</t>
        </is>
      </c>
      <c r="G68" t="inlineStr"/>
      <c r="H68" t="inlineStr">
        <is>
          <t>https://www.medzell.net/main-categories-application/therapeutic-devices/</t>
        </is>
      </c>
      <c r="I68" t="inlineStr">
        <is>
          <t>biox@biox.co.in</t>
        </is>
      </c>
      <c r="L68" t="inlineStr">
        <is>
          <t>Stated</t>
        </is>
      </c>
      <c r="M68" t="inlineStr"/>
      <c r="N68" t="inlineStr">
        <is>
          <t>TUV</t>
        </is>
      </c>
      <c r="O68" t="inlineStr">
        <is>
          <t>https://www.medzell.net/company/bio-x/</t>
        </is>
      </c>
      <c r="Q68" t="n">
        <v>10</v>
      </c>
      <c r="R68">
        <f>IF(Q68="","",IF(Q68&gt;=60,"HIGH",IF(Q68&gt;=30,"MEDIUM","LOW")))</f>
        <v/>
      </c>
      <c r="S68" t="inlineStr">
        <is>
          <t>New</t>
        </is>
      </c>
      <c r="T68" t="inlineStr">
        <is>
          <t>2026-03-05</t>
        </is>
      </c>
      <c r="U68" t="inlineStr">
        <is>
          <t>Seed=Medzell; Seed-file: output/medzell_company_urls.txt</t>
        </is>
      </c>
    </row>
    <row r="69">
      <c r="A69" t="n">
        <v>68</v>
      </c>
      <c r="B69" t="inlineStr">
        <is>
          <t>Top Medical Ventilators by Biodesign Innovation Labs for Healthcare</t>
        </is>
      </c>
      <c r="C69" t="inlineStr"/>
      <c r="D69" t="inlineStr">
        <is>
          <t>Manufacturer</t>
        </is>
      </c>
      <c r="E69" t="inlineStr">
        <is>
          <t>PPE</t>
        </is>
      </c>
      <c r="F69" t="inlineStr">
        <is>
          <t>Wound Care, Lab Consumables, Syringes &amp; Needles, IV Infusion Sets, Gauze &amp; Bandages, Disinfectants, IV Cannulas, Catheters</t>
        </is>
      </c>
      <c r="G69" t="inlineStr"/>
      <c r="H69" t="inlineStr">
        <is>
          <t>https://www.medzell.net/main-categories-application/therapeutic-devices/</t>
        </is>
      </c>
      <c r="I69" t="inlineStr">
        <is>
          <t>gautham@biodesigninnovationlabs.com</t>
        </is>
      </c>
      <c r="L69" t="inlineStr"/>
      <c r="M69" t="inlineStr"/>
      <c r="N69" t="inlineStr">
        <is>
          <t>TUV</t>
        </is>
      </c>
      <c r="O69" t="inlineStr">
        <is>
          <t>https://www.medzell.net/company/biodesign-innovation-labs/</t>
        </is>
      </c>
      <c r="Q69" t="n">
        <v>25</v>
      </c>
      <c r="R69">
        <f>IF(Q69="","",IF(Q69&gt;=60,"HIGH",IF(Q69&gt;=30,"MEDIUM","LOW")))</f>
        <v/>
      </c>
      <c r="S69" t="inlineStr">
        <is>
          <t>New</t>
        </is>
      </c>
      <c r="T69" t="inlineStr">
        <is>
          <t>2026-03-05</t>
        </is>
      </c>
      <c r="U69" t="inlineStr">
        <is>
          <t>Seed=Medzell; Seed-file: output/medzell_company_urls.txt</t>
        </is>
      </c>
    </row>
    <row r="70">
      <c r="A70" t="n">
        <v>69</v>
      </c>
      <c r="B70" t="inlineStr">
        <is>
          <t>Bioline India</t>
        </is>
      </c>
      <c r="C70" t="inlineStr"/>
      <c r="D70" t="inlineStr">
        <is>
          <t>Manufacturer</t>
        </is>
      </c>
      <c r="E70" t="inlineStr">
        <is>
          <t>PPE</t>
        </is>
      </c>
      <c r="F70" t="inlineStr">
        <is>
          <t>Wound Care, Lab Consumables, Syringes &amp; Needles, IV Infusion Sets, Gauze &amp; Bandages, Disinfectants, IV Cannulas, Catheters</t>
        </is>
      </c>
      <c r="G70" t="inlineStr"/>
      <c r="H70" t="inlineStr">
        <is>
          <t>https://www.medzell.net/main-categories-application/therapeutic-devices/</t>
        </is>
      </c>
      <c r="I70" t="inlineStr">
        <is>
          <t>biolineindia@yahoo.co.in</t>
        </is>
      </c>
      <c r="L70" t="inlineStr">
        <is>
          <t>Stated</t>
        </is>
      </c>
      <c r="M70" t="inlineStr"/>
      <c r="N70" t="inlineStr">
        <is>
          <t>TUV</t>
        </is>
      </c>
      <c r="O70" t="inlineStr">
        <is>
          <t>https://www.medzell.net/company/bioline-india/</t>
        </is>
      </c>
      <c r="Q70" t="n">
        <v>10</v>
      </c>
      <c r="R70">
        <f>IF(Q70="","",IF(Q70&gt;=60,"HIGH",IF(Q70&gt;=30,"MEDIUM","LOW")))</f>
        <v/>
      </c>
      <c r="S70" t="inlineStr">
        <is>
          <t>New</t>
        </is>
      </c>
      <c r="T70" t="inlineStr">
        <is>
          <t>2026-03-05</t>
        </is>
      </c>
      <c r="U70" t="inlineStr">
        <is>
          <t>Seed=Medzell; Seed-file: output/medzell_company_urls.txt</t>
        </is>
      </c>
    </row>
    <row r="71">
      <c r="A71" t="n">
        <v>70</v>
      </c>
      <c r="B71" t="inlineStr">
        <is>
          <t>Biomed Healthtech Pvt. Ltd. | Quality Orthopedic Implants</t>
        </is>
      </c>
      <c r="C71" t="inlineStr"/>
      <c r="D71" t="inlineStr">
        <is>
          <t>Manufacturer</t>
        </is>
      </c>
      <c r="E71" t="inlineStr">
        <is>
          <t>PPE</t>
        </is>
      </c>
      <c r="F71" t="inlineStr">
        <is>
          <t>Wound Care, Lab Consumables, Syringes &amp; Needles, IV Infusion Sets, Gauze &amp; Bandages, Disinfectants, IV Cannulas, Catheters</t>
        </is>
      </c>
      <c r="G71" t="inlineStr"/>
      <c r="H71" t="inlineStr">
        <is>
          <t>https://www.medzell.net/main-categories-application/therapeutic-devices/</t>
        </is>
      </c>
      <c r="I71" t="inlineStr">
        <is>
          <t>pkumar@biomedorthopedics.com</t>
        </is>
      </c>
      <c r="L71" t="inlineStr">
        <is>
          <t>Stated</t>
        </is>
      </c>
      <c r="M71" t="inlineStr"/>
      <c r="N71" t="inlineStr">
        <is>
          <t>TUV</t>
        </is>
      </c>
      <c r="O71" t="inlineStr">
        <is>
          <t>https://www.medzell.net/company/biomed-healthtech-pvt-ltd/</t>
        </is>
      </c>
      <c r="Q71" t="n">
        <v>10</v>
      </c>
      <c r="R71">
        <f>IF(Q71="","",IF(Q71&gt;=60,"HIGH",IF(Q71&gt;=30,"MEDIUM","LOW")))</f>
        <v/>
      </c>
      <c r="S71" t="inlineStr">
        <is>
          <t>New</t>
        </is>
      </c>
      <c r="T71" t="inlineStr">
        <is>
          <t>2026-03-05</t>
        </is>
      </c>
      <c r="U71" t="inlineStr">
        <is>
          <t>Seed=Medzell; Seed-file: output/medzell_company_urls.txt</t>
        </is>
      </c>
    </row>
    <row r="72">
      <c r="A72" t="n">
        <v>71</v>
      </c>
      <c r="B72" t="inlineStr">
        <is>
          <t>Robo Bionics: Innovative Lightweight Bionic Hands - Advanced Touch, Quick Learning, Affordable Solutions</t>
        </is>
      </c>
      <c r="C72" t="inlineStr"/>
      <c r="D72" t="inlineStr">
        <is>
          <t>Manufacturer</t>
        </is>
      </c>
      <c r="E72" t="inlineStr">
        <is>
          <t>PPE</t>
        </is>
      </c>
      <c r="F72" t="inlineStr">
        <is>
          <t>Wound Care, Lab Consumables, Syringes &amp; Needles, IV Infusion Sets, Gauze &amp; Bandages, Disinfectants, IV Cannulas, Catheters</t>
        </is>
      </c>
      <c r="G72" t="inlineStr"/>
      <c r="H72" t="inlineStr">
        <is>
          <t>https://www.medzell.net/main-categories-application/therapeutic-devices/</t>
        </is>
      </c>
      <c r="I72" t="inlineStr">
        <is>
          <t>purchase@robobionics.in</t>
        </is>
      </c>
      <c r="L72" t="inlineStr"/>
      <c r="M72" t="inlineStr"/>
      <c r="N72" t="inlineStr">
        <is>
          <t>TUV</t>
        </is>
      </c>
      <c r="O72" t="inlineStr">
        <is>
          <t>https://www.medzell.net/company/bionic-hope-private-limited/</t>
        </is>
      </c>
      <c r="Q72" t="n">
        <v>25</v>
      </c>
      <c r="R72">
        <f>IF(Q72="","",IF(Q72&gt;=60,"HIGH",IF(Q72&gt;=30,"MEDIUM","LOW")))</f>
        <v/>
      </c>
      <c r="S72" t="inlineStr">
        <is>
          <t>New</t>
        </is>
      </c>
      <c r="T72" t="inlineStr">
        <is>
          <t>2026-03-05</t>
        </is>
      </c>
      <c r="U72" t="inlineStr">
        <is>
          <t>Seed=Medzell; Seed-file: output/medzell_company_urls.txt</t>
        </is>
      </c>
    </row>
    <row r="73">
      <c r="A73" t="n">
        <v>72</v>
      </c>
      <c r="B73" t="inlineStr">
        <is>
          <t>Biophoton Technologies | Affordable Bio-Photonics Solutions for Newborn Therapy</t>
        </is>
      </c>
      <c r="C73" t="inlineStr"/>
      <c r="D73" t="inlineStr">
        <is>
          <t>Manufacturer</t>
        </is>
      </c>
      <c r="E73" t="inlineStr">
        <is>
          <t>PPE</t>
        </is>
      </c>
      <c r="F73" t="inlineStr">
        <is>
          <t>Wound Care, Lab Consumables, Syringes &amp; Needles, IV Infusion Sets, Gauze &amp; Bandages, Disinfectants, IV Cannulas, Catheters</t>
        </is>
      </c>
      <c r="G73" t="inlineStr"/>
      <c r="H73" t="inlineStr">
        <is>
          <t>https://www.medzell.net/main-categories-application/therapeutic-devices/</t>
        </is>
      </c>
      <c r="I73" t="inlineStr">
        <is>
          <t>sales@biophotontechnologies.com</t>
        </is>
      </c>
      <c r="L73" t="inlineStr">
        <is>
          <t>Stated</t>
        </is>
      </c>
      <c r="M73" t="inlineStr"/>
      <c r="N73" t="inlineStr">
        <is>
          <t>TUV</t>
        </is>
      </c>
      <c r="O73" t="inlineStr">
        <is>
          <t>https://www.medzell.net/company/biophoton-technologies-pvt-ltd/</t>
        </is>
      </c>
      <c r="Q73" t="n">
        <v>10</v>
      </c>
      <c r="R73">
        <f>IF(Q73="","",IF(Q73&gt;=60,"HIGH",IF(Q73&gt;=30,"MEDIUM","LOW")))</f>
        <v/>
      </c>
      <c r="S73" t="inlineStr">
        <is>
          <t>New</t>
        </is>
      </c>
      <c r="T73" t="inlineStr">
        <is>
          <t>2026-03-05</t>
        </is>
      </c>
      <c r="U73" t="inlineStr">
        <is>
          <t>Seed=Medzell; Seed-file: output/medzell_company_urls.txt</t>
        </is>
      </c>
    </row>
    <row r="74">
      <c r="A74" t="n">
        <v>73</v>
      </c>
      <c r="B74" t="inlineStr">
        <is>
          <t>BioScan AI: Advanced AI Solutions for Early Disease Detection &amp; Improved Patient Outcomes</t>
        </is>
      </c>
      <c r="C74" t="inlineStr"/>
      <c r="D74" t="inlineStr">
        <is>
          <t>Manufacturer</t>
        </is>
      </c>
      <c r="E74" t="inlineStr">
        <is>
          <t>PPE</t>
        </is>
      </c>
      <c r="F74" t="inlineStr">
        <is>
          <t>Wound Care, Lab Consumables, Syringes &amp; Needles, IV Infusion Sets, Gauze &amp; Bandages, Disinfectants, IV Cannulas, Catheters</t>
        </is>
      </c>
      <c r="G74" t="inlineStr"/>
      <c r="H74" t="inlineStr">
        <is>
          <t>https://www.medzell.net/main-categories-application/therapeutic-devices/</t>
        </is>
      </c>
      <c r="I74" t="inlineStr">
        <is>
          <t>varij.srivastava@bioscanai.com</t>
        </is>
      </c>
      <c r="L74" t="inlineStr"/>
      <c r="M74" t="inlineStr"/>
      <c r="N74" t="inlineStr">
        <is>
          <t>TUV</t>
        </is>
      </c>
      <c r="O74" t="inlineStr">
        <is>
          <t>https://www.medzell.net/company/bioscan-ai-innovative-solutions/</t>
        </is>
      </c>
      <c r="Q74" t="n">
        <v>25</v>
      </c>
      <c r="R74">
        <f>IF(Q74="","",IF(Q74&gt;=60,"HIGH",IF(Q74&gt;=30,"MEDIUM","LOW")))</f>
        <v/>
      </c>
      <c r="S74" t="inlineStr">
        <is>
          <t>New</t>
        </is>
      </c>
      <c r="T74" t="inlineStr">
        <is>
          <t>2026-03-05</t>
        </is>
      </c>
      <c r="U74" t="inlineStr">
        <is>
          <t>Seed=Medzell; Seed-file: output/medzell_company_urls.txt</t>
        </is>
      </c>
    </row>
    <row r="75">
      <c r="A75" t="n">
        <v>74</v>
      </c>
      <c r="B75" t="inlineStr">
        <is>
          <t>Affordable Medical Devices for Early Hemorrhage  Detection - Bioscan Research</t>
        </is>
      </c>
      <c r="C75" t="inlineStr"/>
      <c r="D75" t="inlineStr">
        <is>
          <t>Manufacturer</t>
        </is>
      </c>
      <c r="E75" t="inlineStr">
        <is>
          <t>PPE</t>
        </is>
      </c>
      <c r="F75" t="inlineStr">
        <is>
          <t>Wound Care, Lab Consumables, Syringes &amp; Needles, IV Infusion Sets, Gauze &amp; Bandages, Disinfectants, IV Cannulas, Catheters</t>
        </is>
      </c>
      <c r="G75" t="inlineStr"/>
      <c r="H75" t="inlineStr">
        <is>
          <t>https://www.medzell.net/main-categories-application/therapeutic-devices/</t>
        </is>
      </c>
      <c r="I75" t="inlineStr">
        <is>
          <t>partnerships@bioscanresearch.com</t>
        </is>
      </c>
      <c r="L75" t="inlineStr">
        <is>
          <t>Stated</t>
        </is>
      </c>
      <c r="M75" t="inlineStr"/>
      <c r="N75" t="inlineStr">
        <is>
          <t>TUV</t>
        </is>
      </c>
      <c r="O75" t="inlineStr">
        <is>
          <t>https://www.medzell.net/company/bioscan-research-private-limited/</t>
        </is>
      </c>
      <c r="Q75" t="n">
        <v>10</v>
      </c>
      <c r="R75">
        <f>IF(Q75="","",IF(Q75&gt;=60,"HIGH",IF(Q75&gt;=30,"MEDIUM","LOW")))</f>
        <v/>
      </c>
      <c r="S75" t="inlineStr">
        <is>
          <t>New</t>
        </is>
      </c>
      <c r="T75" t="inlineStr">
        <is>
          <t>2026-03-05</t>
        </is>
      </c>
      <c r="U75" t="inlineStr">
        <is>
          <t>Seed=Medzell; Seed-file: output/medzell_company_urls.txt</t>
        </is>
      </c>
    </row>
    <row r="76">
      <c r="A76" t="n">
        <v>75</v>
      </c>
      <c r="B76" t="inlineStr">
        <is>
          <t>Biosysion | Advancing Molecular Diagnostics for Early Disease Detection</t>
        </is>
      </c>
      <c r="C76" t="inlineStr"/>
      <c r="D76" t="inlineStr">
        <is>
          <t>Manufacturer</t>
        </is>
      </c>
      <c r="E76" t="inlineStr">
        <is>
          <t>PPE</t>
        </is>
      </c>
      <c r="F76" t="inlineStr">
        <is>
          <t>Wound Care, Lab Consumables, Syringes &amp; Needles, IV Infusion Sets, Gauze &amp; Bandages, Disinfectants, IV Cannulas, Catheters</t>
        </is>
      </c>
      <c r="G76" t="inlineStr"/>
      <c r="H76" t="inlineStr">
        <is>
          <t>https://www.medzell.net/main-categories-application/therapeutic-devices/</t>
        </is>
      </c>
      <c r="I76" t="inlineStr">
        <is>
          <t>info@biosystemvision.com</t>
        </is>
      </c>
      <c r="L76" t="inlineStr"/>
      <c r="M76" t="inlineStr"/>
      <c r="N76" t="inlineStr">
        <is>
          <t>TUV</t>
        </is>
      </c>
      <c r="O76" t="inlineStr">
        <is>
          <t>https://www.medzell.net/company/biosysion-private-limited/</t>
        </is>
      </c>
      <c r="Q76" t="n">
        <v>25</v>
      </c>
      <c r="R76">
        <f>IF(Q76="","",IF(Q76&gt;=60,"HIGH",IF(Q76&gt;=30,"MEDIUM","LOW")))</f>
        <v/>
      </c>
      <c r="S76" t="inlineStr">
        <is>
          <t>New</t>
        </is>
      </c>
      <c r="T76" t="inlineStr">
        <is>
          <t>2026-03-05</t>
        </is>
      </c>
      <c r="U76" t="inlineStr">
        <is>
          <t>Seed=Medzell; Seed-file: output/medzell_company_urls.txt</t>
        </is>
      </c>
    </row>
    <row r="77">
      <c r="A77" t="n">
        <v>76</v>
      </c>
      <c r="B77" t="inlineStr">
        <is>
          <t>Cutting-Edge Micropipettes by Biosystem Company: Precision and Excellence for Laboratory Liquid Handling</t>
        </is>
      </c>
      <c r="C77" t="inlineStr"/>
      <c r="D77" t="inlineStr">
        <is>
          <t>Manufacturer</t>
        </is>
      </c>
      <c r="E77" t="inlineStr">
        <is>
          <t>PPE</t>
        </is>
      </c>
      <c r="F77" t="inlineStr">
        <is>
          <t>Wound Care, Lab Consumables, Syringes &amp; Needles, IV Infusion Sets, Gauze &amp; Bandages, Disinfectants, IV Cannulas, Catheters</t>
        </is>
      </c>
      <c r="G77" t="inlineStr"/>
      <c r="H77" t="inlineStr">
        <is>
          <t>https://www.medzell.net/main-categories-application/therapeutic-devices/</t>
        </is>
      </c>
      <c r="I77" t="inlineStr">
        <is>
          <t>biosystem2007@yahoo.com</t>
        </is>
      </c>
      <c r="L77" t="inlineStr">
        <is>
          <t>Stated</t>
        </is>
      </c>
      <c r="M77" t="inlineStr">
        <is>
          <t>Stated</t>
        </is>
      </c>
      <c r="N77" t="inlineStr">
        <is>
          <t>TUV</t>
        </is>
      </c>
      <c r="O77" t="inlineStr">
        <is>
          <t>https://www.medzell.net/company/biosystem-company/</t>
        </is>
      </c>
      <c r="Q77" t="n">
        <v>20</v>
      </c>
      <c r="R77">
        <f>IF(Q77="","",IF(Q77&gt;=60,"HIGH",IF(Q77&gt;=30,"MEDIUM","LOW")))</f>
        <v/>
      </c>
      <c r="S77" t="inlineStr">
        <is>
          <t>New</t>
        </is>
      </c>
      <c r="T77" t="inlineStr">
        <is>
          <t>2026-03-05</t>
        </is>
      </c>
      <c r="U77" t="inlineStr">
        <is>
          <t>Seed=Medzell; Seed-file: output/medzell_company_urls.txt</t>
        </is>
      </c>
    </row>
    <row r="78">
      <c r="A78" t="n">
        <v>77</v>
      </c>
      <c r="B78" t="inlineStr">
        <is>
          <t>Biowy Corporation: Pioneers in Advanced Medical and Biotech Solutions</t>
        </is>
      </c>
      <c r="C78" t="inlineStr"/>
      <c r="D78" t="inlineStr">
        <is>
          <t>Manufacturer</t>
        </is>
      </c>
      <c r="E78" t="inlineStr">
        <is>
          <t>PPE</t>
        </is>
      </c>
      <c r="F78" t="inlineStr">
        <is>
          <t>Wound Care, Lab Consumables, Syringes &amp; Needles, IV Infusion Sets, Gauze &amp; Bandages, Disinfectants, IV Cannulas, Catheters</t>
        </is>
      </c>
      <c r="G78" t="inlineStr"/>
      <c r="H78" t="inlineStr">
        <is>
          <t>https://www.medzell.net/main-categories-application/therapeutic-devices/</t>
        </is>
      </c>
      <c r="I78" t="inlineStr">
        <is>
          <t>paul@biowy.com</t>
        </is>
      </c>
      <c r="L78" t="inlineStr">
        <is>
          <t>Stated</t>
        </is>
      </c>
      <c r="M78" t="inlineStr"/>
      <c r="N78" t="inlineStr">
        <is>
          <t>TUV</t>
        </is>
      </c>
      <c r="O78" t="inlineStr">
        <is>
          <t>https://www.medzell.net/company/biowy-corporation/</t>
        </is>
      </c>
      <c r="Q78" t="n">
        <v>10</v>
      </c>
      <c r="R78">
        <f>IF(Q78="","",IF(Q78&gt;=60,"HIGH",IF(Q78&gt;=30,"MEDIUM","LOW")))</f>
        <v/>
      </c>
      <c r="S78" t="inlineStr">
        <is>
          <t>New</t>
        </is>
      </c>
      <c r="T78" t="inlineStr">
        <is>
          <t>2026-03-05</t>
        </is>
      </c>
      <c r="U78" t="inlineStr">
        <is>
          <t>Seed=Medzell; Seed-file: output/medzell_company_urls.txt</t>
        </is>
      </c>
    </row>
    <row r="79">
      <c r="A79" t="n">
        <v>78</v>
      </c>
      <c r="B79" t="inlineStr">
        <is>
          <t>Leading Manufacturer of Neonatal Medical Devices in India - Bird Meditech</t>
        </is>
      </c>
      <c r="C79" t="inlineStr"/>
      <c r="D79" t="inlineStr">
        <is>
          <t>Manufacturer</t>
        </is>
      </c>
      <c r="E79" t="inlineStr">
        <is>
          <t>PPE</t>
        </is>
      </c>
      <c r="F79" t="inlineStr">
        <is>
          <t>Wound Care, Lab Consumables, Syringes &amp; Needles, IV Infusion Sets, Gauze &amp; Bandages, Disinfectants, IV Cannulas, Catheters</t>
        </is>
      </c>
      <c r="G79" t="inlineStr"/>
      <c r="H79" t="inlineStr">
        <is>
          <t>https://www.medzell.net/main-categories-application/therapeutic-devices/</t>
        </is>
      </c>
      <c r="I79" t="inlineStr">
        <is>
          <t>birdmeditech@gmail.com</t>
        </is>
      </c>
      <c r="L79" t="inlineStr">
        <is>
          <t>Stated</t>
        </is>
      </c>
      <c r="M79" t="inlineStr"/>
      <c r="N79" t="inlineStr">
        <is>
          <t>TUV</t>
        </is>
      </c>
      <c r="O79" t="inlineStr">
        <is>
          <t>https://www.medzell.net/company/bird-meditech/</t>
        </is>
      </c>
      <c r="Q79" t="n">
        <v>30</v>
      </c>
      <c r="R79">
        <f>IF(Q79="","",IF(Q79&gt;=60,"HIGH",IF(Q79&gt;=30,"MEDIUM","LOW")))</f>
        <v/>
      </c>
      <c r="S79" t="inlineStr">
        <is>
          <t>New</t>
        </is>
      </c>
      <c r="T79" t="inlineStr">
        <is>
          <t>2026-03-05</t>
        </is>
      </c>
      <c r="U79" t="inlineStr">
        <is>
          <t>Seed=Medzell; Seed-file: output/medzell_company_urls.txt</t>
        </is>
      </c>
    </row>
    <row r="80">
      <c r="A80" t="n">
        <v>79</v>
      </c>
      <c r="B80" t="inlineStr">
        <is>
          <t>Ophthalmic Micro Surgical Knives &amp; Related Consumables Manufacturer</t>
        </is>
      </c>
      <c r="C80" t="inlineStr"/>
      <c r="D80" t="inlineStr">
        <is>
          <t>Manufacturer</t>
        </is>
      </c>
      <c r="E80" t="inlineStr">
        <is>
          <t>PPE</t>
        </is>
      </c>
      <c r="F80" t="inlineStr">
        <is>
          <t>Wound Care, Lab Consumables, Syringes &amp; Needles, IV Infusion Sets, Gauze &amp; Bandages, Disinfectants, IV Cannulas, Catheters</t>
        </is>
      </c>
      <c r="G80" t="inlineStr"/>
      <c r="H80" t="inlineStr">
        <is>
          <t>https://www.medzell.net/main-categories-application/therapeutic-devices/</t>
        </is>
      </c>
      <c r="I80" t="inlineStr">
        <is>
          <t>blinkmedicas@gmail.com</t>
        </is>
      </c>
      <c r="L80" t="inlineStr">
        <is>
          <t>Stated</t>
        </is>
      </c>
      <c r="M80" t="inlineStr"/>
      <c r="N80" t="inlineStr">
        <is>
          <t>TUV</t>
        </is>
      </c>
      <c r="O80" t="inlineStr">
        <is>
          <t>https://www.medzell.net/company/blink-medicas-ind/</t>
        </is>
      </c>
      <c r="Q80" t="n">
        <v>30</v>
      </c>
      <c r="R80">
        <f>IF(Q80="","",IF(Q80&gt;=60,"HIGH",IF(Q80&gt;=30,"MEDIUM","LOW")))</f>
        <v/>
      </c>
      <c r="S80" t="inlineStr">
        <is>
          <t>New</t>
        </is>
      </c>
      <c r="T80" t="inlineStr">
        <is>
          <t>2026-03-05</t>
        </is>
      </c>
      <c r="U80" t="inlineStr">
        <is>
          <t>Seed=Medzell; Seed-file: output/medzell_company_urls.txt</t>
        </is>
      </c>
    </row>
    <row r="81">
      <c r="A81" t="n">
        <v>80</v>
      </c>
      <c r="B81" t="inlineStr">
        <is>
          <t>Discover Excellence in Laparoscopic Instruments with Blue Phoenix Technologies Pvt. Ltd.</t>
        </is>
      </c>
      <c r="C81" t="inlineStr"/>
      <c r="D81" t="inlineStr">
        <is>
          <t>Manufacturer</t>
        </is>
      </c>
      <c r="E81" t="inlineStr">
        <is>
          <t>PPE</t>
        </is>
      </c>
      <c r="F81" t="inlineStr">
        <is>
          <t>Wound Care, Lab Consumables, Syringes &amp; Needles, IV Infusion Sets, Gauze &amp; Bandages, Disinfectants, IV Cannulas, Catheters</t>
        </is>
      </c>
      <c r="G81" t="inlineStr"/>
      <c r="H81" t="inlineStr">
        <is>
          <t>https://www.medzell.net/main-categories-application/therapeutic-devices/</t>
        </is>
      </c>
      <c r="I81" t="inlineStr">
        <is>
          <t>bluephoenixmedi@gmail.com</t>
        </is>
      </c>
      <c r="L81" t="inlineStr">
        <is>
          <t>Stated</t>
        </is>
      </c>
      <c r="M81" t="inlineStr"/>
      <c r="N81" t="inlineStr">
        <is>
          <t>TUV</t>
        </is>
      </c>
      <c r="O81" t="inlineStr">
        <is>
          <t>https://www.medzell.net/company/blue-phoenix-technologies-pvt-ltd/</t>
        </is>
      </c>
      <c r="Q81" t="n">
        <v>30</v>
      </c>
      <c r="R81">
        <f>IF(Q81="","",IF(Q81&gt;=60,"HIGH",IF(Q81&gt;=30,"MEDIUM","LOW")))</f>
        <v/>
      </c>
      <c r="S81" t="inlineStr">
        <is>
          <t>New</t>
        </is>
      </c>
      <c r="T81" t="inlineStr">
        <is>
          <t>2026-03-05</t>
        </is>
      </c>
      <c r="U81" t="inlineStr">
        <is>
          <t>Seed=Medzell; Seed-file: output/medzell_company_urls.txt</t>
        </is>
      </c>
    </row>
    <row r="82">
      <c r="A82" t="n">
        <v>81</v>
      </c>
      <c r="B82" t="inlineStr">
        <is>
          <t>Bontech | Innovating Digital X-Ray Solutions for Healthcare &amp; Security</t>
        </is>
      </c>
      <c r="C82" t="inlineStr"/>
      <c r="D82" t="inlineStr">
        <is>
          <t>Manufacturer</t>
        </is>
      </c>
      <c r="E82" t="inlineStr">
        <is>
          <t>PPE</t>
        </is>
      </c>
      <c r="F82" t="inlineStr">
        <is>
          <t>Wound Care, Lab Consumables, Syringes &amp; Needles, IV Infusion Sets, Gauze &amp; Bandages, Disinfectants, IV Cannulas, Catheters</t>
        </is>
      </c>
      <c r="G82" t="inlineStr"/>
      <c r="H82" t="inlineStr">
        <is>
          <t>https://www.medzell.net/main-categories-application/therapeutic-devices/</t>
        </is>
      </c>
      <c r="I82" t="inlineStr">
        <is>
          <t>farrukh@bontech.co</t>
        </is>
      </c>
      <c r="L82" t="inlineStr">
        <is>
          <t>Stated</t>
        </is>
      </c>
      <c r="M82" t="inlineStr"/>
      <c r="N82" t="inlineStr">
        <is>
          <t>FDA, GMP, TUV</t>
        </is>
      </c>
      <c r="O82" t="inlineStr">
        <is>
          <t>https://www.medzell.net/company/bontech-co-ltd/</t>
        </is>
      </c>
      <c r="Q82" t="n">
        <v>10</v>
      </c>
      <c r="R82">
        <f>IF(Q82="","",IF(Q82&gt;=60,"HIGH",IF(Q82&gt;=30,"MEDIUM","LOW")))</f>
        <v/>
      </c>
      <c r="S82" t="inlineStr">
        <is>
          <t>New</t>
        </is>
      </c>
      <c r="T82" t="inlineStr">
        <is>
          <t>2026-03-05</t>
        </is>
      </c>
      <c r="U82" t="inlineStr">
        <is>
          <t>Seed=Medzell; Seed-file: output/medzell_company_urls.txt</t>
        </is>
      </c>
    </row>
    <row r="83">
      <c r="A83" t="n">
        <v>82</v>
      </c>
      <c r="B83" t="inlineStr">
        <is>
          <t>Borg Scientific: Leading Manufacturer &amp; Global Supplier of Laboratory Devices Since 2001</t>
        </is>
      </c>
      <c r="C83" t="inlineStr"/>
      <c r="D83" t="inlineStr">
        <is>
          <t>Manufacturer</t>
        </is>
      </c>
      <c r="E83" t="inlineStr">
        <is>
          <t>PPE</t>
        </is>
      </c>
      <c r="F83" t="inlineStr">
        <is>
          <t>Wound Care, Lab Consumables, Syringes &amp; Needles, IV Infusion Sets, Gauze &amp; Bandages, Disinfectants, IV Cannulas, Catheters</t>
        </is>
      </c>
      <c r="G83" t="inlineStr"/>
      <c r="H83" t="inlineStr">
        <is>
          <t>https://www.medzell.net/main-categories-application/therapeutic-devices/</t>
        </is>
      </c>
      <c r="I83" t="inlineStr">
        <is>
          <t>info@borgscientific.com</t>
        </is>
      </c>
      <c r="L83" t="inlineStr"/>
      <c r="M83" t="inlineStr"/>
      <c r="N83" t="inlineStr">
        <is>
          <t>TUV</t>
        </is>
      </c>
      <c r="O83" t="inlineStr">
        <is>
          <t>https://www.medzell.net/company/borg-scientific/</t>
        </is>
      </c>
      <c r="Q83" t="n">
        <v>25</v>
      </c>
      <c r="R83">
        <f>IF(Q83="","",IF(Q83&gt;=60,"HIGH",IF(Q83&gt;=30,"MEDIUM","LOW")))</f>
        <v/>
      </c>
      <c r="S83" t="inlineStr">
        <is>
          <t>New</t>
        </is>
      </c>
      <c r="T83" t="inlineStr">
        <is>
          <t>2026-03-05</t>
        </is>
      </c>
      <c r="U83" t="inlineStr">
        <is>
          <t>Seed=Medzell; Seed-file: output/medzell_company_urls.txt</t>
        </is>
      </c>
    </row>
    <row r="84">
      <c r="A84" t="n">
        <v>83</v>
      </c>
      <c r="B84" t="inlineStr">
        <is>
          <t>BPL Medical Technologies: High-Quality Patient Care Products &amp; Systems | ISO Certified</t>
        </is>
      </c>
      <c r="C84" t="inlineStr"/>
      <c r="D84" t="inlineStr">
        <is>
          <t>Manufacturer</t>
        </is>
      </c>
      <c r="E84" t="inlineStr">
        <is>
          <t>PPE</t>
        </is>
      </c>
      <c r="F84" t="inlineStr">
        <is>
          <t>Wound Care, Lab Consumables, Syringes &amp; Needles, IV Infusion Sets, Gauze &amp; Bandages, Disinfectants, IV Cannulas, Catheters</t>
        </is>
      </c>
      <c r="G84" t="inlineStr"/>
      <c r="H84" t="inlineStr">
        <is>
          <t>https://www.medzell.net/main-categories-application/therapeutic-devices/</t>
        </is>
      </c>
      <c r="I84" t="inlineStr">
        <is>
          <t>sunil.prabhakar@bpl.in</t>
        </is>
      </c>
      <c r="L84" t="inlineStr">
        <is>
          <t>Stated</t>
        </is>
      </c>
      <c r="M84" t="inlineStr">
        <is>
          <t>Stated</t>
        </is>
      </c>
      <c r="N84" t="inlineStr">
        <is>
          <t>TUV</t>
        </is>
      </c>
      <c r="O84" t="inlineStr">
        <is>
          <t>https://www.medzell.net/company/bpl-medical-technologies/</t>
        </is>
      </c>
      <c r="Q84" t="n">
        <v>0</v>
      </c>
      <c r="R84">
        <f>IF(Q84="","",IF(Q84&gt;=60,"HIGH",IF(Q84&gt;=30,"MEDIUM","LOW")))</f>
        <v/>
      </c>
      <c r="S84" t="inlineStr">
        <is>
          <t>New</t>
        </is>
      </c>
      <c r="T84" t="inlineStr">
        <is>
          <t>2026-03-05</t>
        </is>
      </c>
      <c r="U84" t="inlineStr">
        <is>
          <t>Seed=Medzell; Seed-file: output/medzell_company_urls.txt</t>
        </is>
      </c>
    </row>
    <row r="85">
      <c r="A85" t="n">
        <v>84</v>
      </c>
      <c r="B85" t="inlineStr">
        <is>
          <t>Leading Manufacturer and Supplier of Laboratory Equipment in India - BR Biochem Life Sciences Pvt. Ltd.</t>
        </is>
      </c>
      <c r="C85" t="inlineStr"/>
      <c r="D85" t="inlineStr">
        <is>
          <t>Manufacturer</t>
        </is>
      </c>
      <c r="E85" t="inlineStr">
        <is>
          <t>PPE</t>
        </is>
      </c>
      <c r="F85" t="inlineStr">
        <is>
          <t>Wound Care, Lab Consumables, Syringes &amp; Needles, IV Infusion Sets, Gauze &amp; Bandages, Disinfectants, IV Cannulas, Catheters, Gloves</t>
        </is>
      </c>
      <c r="G85" t="inlineStr"/>
      <c r="H85" t="inlineStr">
        <is>
          <t>https://www.medzell.net/main-categories-application/therapeutic-devices/</t>
        </is>
      </c>
      <c r="I85" t="inlineStr">
        <is>
          <t>info@brbls.com</t>
        </is>
      </c>
      <c r="L85" t="inlineStr"/>
      <c r="M85" t="inlineStr">
        <is>
          <t>Stated</t>
        </is>
      </c>
      <c r="N85" t="inlineStr">
        <is>
          <t>TUV</t>
        </is>
      </c>
      <c r="O85" t="inlineStr">
        <is>
          <t>https://www.medzell.net/company/br-biochem-life-sciences-pvt-ltd/</t>
        </is>
      </c>
      <c r="Q85" t="n">
        <v>15</v>
      </c>
      <c r="R85">
        <f>IF(Q85="","",IF(Q85&gt;=60,"HIGH",IF(Q85&gt;=30,"MEDIUM","LOW")))</f>
        <v/>
      </c>
      <c r="S85" t="inlineStr">
        <is>
          <t>New</t>
        </is>
      </c>
      <c r="T85" t="inlineStr">
        <is>
          <t>2026-03-05</t>
        </is>
      </c>
      <c r="U85" t="inlineStr">
        <is>
          <t>Seed=Medzell; Seed-file: output/medzell_company_urls.txt</t>
        </is>
      </c>
    </row>
    <row r="86">
      <c r="A86" t="n">
        <v>85</v>
      </c>
      <c r="B86" t="inlineStr">
        <is>
          <t>Breathe Medical Systems: Leading Manufacturer of Cutting-Edge Infant and Maternal Care Products</t>
        </is>
      </c>
      <c r="C86" t="inlineStr"/>
      <c r="D86" t="inlineStr">
        <is>
          <t>Manufacturer</t>
        </is>
      </c>
      <c r="E86" t="inlineStr">
        <is>
          <t>PPE</t>
        </is>
      </c>
      <c r="F86" t="inlineStr">
        <is>
          <t>Wound Care, Lab Consumables, Syringes &amp; Needles, IV Infusion Sets, Gauze &amp; Bandages, Disinfectants, IV Cannulas, Catheters</t>
        </is>
      </c>
      <c r="G86" t="inlineStr"/>
      <c r="H86" t="inlineStr">
        <is>
          <t>https://www.medzell.net/main-categories-application/therapeutic-devices/</t>
        </is>
      </c>
      <c r="I86" t="inlineStr">
        <is>
          <t>info@breathemedicalsystems.com</t>
        </is>
      </c>
      <c r="L86" t="inlineStr">
        <is>
          <t>Stated</t>
        </is>
      </c>
      <c r="M86" t="inlineStr"/>
      <c r="N86" t="inlineStr">
        <is>
          <t>TUV</t>
        </is>
      </c>
      <c r="O86" t="inlineStr">
        <is>
          <t>https://www.medzell.net/company/breathe-medical-systems/</t>
        </is>
      </c>
      <c r="Q86" t="n">
        <v>10</v>
      </c>
      <c r="R86">
        <f>IF(Q86="","",IF(Q86&gt;=60,"HIGH",IF(Q86&gt;=30,"MEDIUM","LOW")))</f>
        <v/>
      </c>
      <c r="S86" t="inlineStr">
        <is>
          <t>New</t>
        </is>
      </c>
      <c r="T86" t="inlineStr">
        <is>
          <t>2026-03-05</t>
        </is>
      </c>
      <c r="U86" t="inlineStr">
        <is>
          <t>Seed=Medzell; Seed-file: output/medzell_company_urls.txt</t>
        </is>
      </c>
    </row>
    <row r="87">
      <c r="A87" t="n">
        <v>86</v>
      </c>
      <c r="B87" t="inlineStr">
        <is>
          <t>CareNX Innovations: Award-Winning Digital Healthcare Solutions for Pregnancy Care</t>
        </is>
      </c>
      <c r="C87" t="inlineStr"/>
      <c r="D87" t="inlineStr">
        <is>
          <t>Manufacturer</t>
        </is>
      </c>
      <c r="E87" t="inlineStr">
        <is>
          <t>PPE</t>
        </is>
      </c>
      <c r="F87" t="inlineStr">
        <is>
          <t>Wound Care, Lab Consumables, Syringes &amp; Needles, IV Infusion Sets, Gauze &amp; Bandages, Disinfectants, IV Cannulas, Catheters</t>
        </is>
      </c>
      <c r="G87" t="inlineStr"/>
      <c r="H87" t="inlineStr">
        <is>
          <t>https://www.medzell.net/main-categories-application/therapeutic-devices/</t>
        </is>
      </c>
      <c r="I87" t="inlineStr">
        <is>
          <t>aditya@carenx.com</t>
        </is>
      </c>
      <c r="L87" t="inlineStr">
        <is>
          <t>Stated</t>
        </is>
      </c>
      <c r="M87" t="inlineStr"/>
      <c r="N87" t="inlineStr">
        <is>
          <t>TUV</t>
        </is>
      </c>
      <c r="O87" t="inlineStr">
        <is>
          <t>https://www.medzell.net/company/carenx-innovations-private-limited/</t>
        </is>
      </c>
      <c r="Q87" t="n">
        <v>10</v>
      </c>
      <c r="R87">
        <f>IF(Q87="","",IF(Q87&gt;=60,"HIGH",IF(Q87&gt;=30,"MEDIUM","LOW")))</f>
        <v/>
      </c>
      <c r="S87" t="inlineStr">
        <is>
          <t>New</t>
        </is>
      </c>
      <c r="T87" t="inlineStr">
        <is>
          <t>2026-03-05</t>
        </is>
      </c>
      <c r="U87" t="inlineStr">
        <is>
          <t>Seed=Medzell; Seed-file: output/medzell_company_urls.txt</t>
        </is>
      </c>
    </row>
    <row r="88">
      <c r="A88" t="n">
        <v>87</v>
      </c>
      <c r="B88" t="inlineStr">
        <is>
          <t>Top-Notch Single-Use Medical Gear for Hospital Infection Control - Careon Healthcare Solutions Pvt. Ltd.</t>
        </is>
      </c>
      <c r="C88" t="inlineStr"/>
      <c r="D88" t="inlineStr">
        <is>
          <t>Manufacturer</t>
        </is>
      </c>
      <c r="E88" t="inlineStr">
        <is>
          <t>PPE</t>
        </is>
      </c>
      <c r="F88" t="inlineStr">
        <is>
          <t>Wound Care, Lab Consumables, Syringes &amp; Needles, IV Infusion Sets, Gauze &amp; Bandages, Disinfectants, IV Cannulas, Catheters</t>
        </is>
      </c>
      <c r="G88" t="inlineStr"/>
      <c r="H88" t="inlineStr">
        <is>
          <t>https://www.medzell.net/main-categories-application/therapeutic-devices/</t>
        </is>
      </c>
      <c r="I88" t="inlineStr">
        <is>
          <t>exports@careonhealthcare.com</t>
        </is>
      </c>
      <c r="L88" t="inlineStr">
        <is>
          <t>Stated</t>
        </is>
      </c>
      <c r="M88" t="inlineStr"/>
      <c r="N88" t="inlineStr">
        <is>
          <t>BV, TUV</t>
        </is>
      </c>
      <c r="O88" t="inlineStr">
        <is>
          <t>https://www.medzell.net/company/careon-healthcare-solutions-pvt-ltd/</t>
        </is>
      </c>
      <c r="Q88" t="n">
        <v>10</v>
      </c>
      <c r="R88">
        <f>IF(Q88="","",IF(Q88&gt;=60,"HIGH",IF(Q88&gt;=30,"MEDIUM","LOW")))</f>
        <v/>
      </c>
      <c r="S88" t="inlineStr">
        <is>
          <t>New</t>
        </is>
      </c>
      <c r="T88" t="inlineStr">
        <is>
          <t>2026-03-05</t>
        </is>
      </c>
      <c r="U88" t="inlineStr">
        <is>
          <t>Seed=Medzell; Seed-file: output/medzell_company_urls.txt</t>
        </is>
      </c>
    </row>
    <row r="89">
      <c r="A89" t="n">
        <v>88</v>
      </c>
      <c r="B89" t="inlineStr">
        <is>
          <t>High-Quality Medical Equipment Manufacturer | Carevel Medical Systems</t>
        </is>
      </c>
      <c r="C89" t="inlineStr"/>
      <c r="D89" t="inlineStr">
        <is>
          <t>Manufacturer</t>
        </is>
      </c>
      <c r="E89" t="inlineStr">
        <is>
          <t>PPE</t>
        </is>
      </c>
      <c r="F89" t="inlineStr">
        <is>
          <t>Wound Care, Lab Consumables, Syringes &amp; Needles, IV Infusion Sets, Gauze &amp; Bandages, Disinfectants, IV Cannulas, Catheters</t>
        </is>
      </c>
      <c r="G89" t="inlineStr"/>
      <c r="H89" t="inlineStr">
        <is>
          <t>https://www.medzell.net/main-categories-application/therapeutic-devices/</t>
        </is>
      </c>
      <c r="I89" t="inlineStr">
        <is>
          <t>mukesh@carevelglobal.com</t>
        </is>
      </c>
      <c r="L89" t="inlineStr">
        <is>
          <t>Stated</t>
        </is>
      </c>
      <c r="M89" t="inlineStr"/>
      <c r="N89" t="inlineStr">
        <is>
          <t>GMP, TUV</t>
        </is>
      </c>
      <c r="O89" t="inlineStr">
        <is>
          <t>https://www.medzell.net/company/carevel-medical-systems-pvt-ltd/</t>
        </is>
      </c>
      <c r="Q89" t="n">
        <v>10</v>
      </c>
      <c r="R89">
        <f>IF(Q89="","",IF(Q89&gt;=60,"HIGH",IF(Q89&gt;=30,"MEDIUM","LOW")))</f>
        <v/>
      </c>
      <c r="S89" t="inlineStr">
        <is>
          <t>New</t>
        </is>
      </c>
      <c r="T89" t="inlineStr">
        <is>
          <t>2026-03-05</t>
        </is>
      </c>
      <c r="U89" t="inlineStr">
        <is>
          <t>Seed=Medzell; Seed-file: output/medzell_company_urls.txt</t>
        </is>
      </c>
    </row>
    <row r="90">
      <c r="A90" t="n">
        <v>89</v>
      </c>
      <c r="B90" t="inlineStr">
        <is>
          <t>Cerajivan Healthtech - Advanced Colon Hydrotherapy Machines for Effective Detox and Better Health</t>
        </is>
      </c>
      <c r="C90" t="inlineStr"/>
      <c r="D90" t="inlineStr">
        <is>
          <t>Manufacturer</t>
        </is>
      </c>
      <c r="E90" t="inlineStr">
        <is>
          <t>PPE</t>
        </is>
      </c>
      <c r="F90" t="inlineStr">
        <is>
          <t>Wound Care, Lab Consumables, Syringes &amp; Needles, IV Infusion Sets, Gauze &amp; Bandages, Disinfectants, IV Cannulas, Catheters</t>
        </is>
      </c>
      <c r="G90" t="inlineStr"/>
      <c r="H90" t="inlineStr">
        <is>
          <t>https://www.medzell.net/main-categories-application/therapeutic-devices/</t>
        </is>
      </c>
      <c r="I90" t="inlineStr">
        <is>
          <t>cerajivan@gmail.com</t>
        </is>
      </c>
      <c r="L90" t="inlineStr"/>
      <c r="M90" t="inlineStr"/>
      <c r="N90" t="inlineStr">
        <is>
          <t>TUV</t>
        </is>
      </c>
      <c r="O90" t="inlineStr">
        <is>
          <t>https://www.medzell.net/company/cerajivan-healthtech/</t>
        </is>
      </c>
      <c r="Q90" t="n">
        <v>45</v>
      </c>
      <c r="R90">
        <f>IF(Q90="","",IF(Q90&gt;=60,"HIGH",IF(Q90&gt;=30,"MEDIUM","LOW")))</f>
        <v/>
      </c>
      <c r="S90" t="inlineStr">
        <is>
          <t>New</t>
        </is>
      </c>
      <c r="T90" t="inlineStr">
        <is>
          <t>2026-03-05</t>
        </is>
      </c>
      <c r="U90" t="inlineStr">
        <is>
          <t>Seed=Medzell; Seed-file: output/medzell_company_urls.txt</t>
        </is>
      </c>
    </row>
    <row r="91">
      <c r="A91" t="n">
        <v>90</v>
      </c>
      <c r="B91" t="inlineStr">
        <is>
          <t>Quality and Excellence: The Cornerstones of a 40-Year Legacy in Hospital Supplies</t>
        </is>
      </c>
      <c r="C91" t="inlineStr"/>
      <c r="D91" t="inlineStr">
        <is>
          <t>Manufacturer</t>
        </is>
      </c>
      <c r="E91" t="inlineStr">
        <is>
          <t>PPE</t>
        </is>
      </c>
      <c r="F91" t="inlineStr">
        <is>
          <t>Wound Care, Lab Consumables, Syringes &amp; Needles, IV Infusion Sets, Gauze &amp; Bandages, Disinfectants, IV Cannulas, Catheters</t>
        </is>
      </c>
      <c r="G91" t="inlineStr"/>
      <c r="H91" t="inlineStr">
        <is>
          <t>https://www.medzell.net/main-categories-application/therapeutic-devices/</t>
        </is>
      </c>
      <c r="I91" t="inlineStr">
        <is>
          <t>chatterjeesurgical@gmail.com</t>
        </is>
      </c>
      <c r="L91" t="inlineStr"/>
      <c r="M91" t="inlineStr"/>
      <c r="N91" t="inlineStr">
        <is>
          <t>TUV</t>
        </is>
      </c>
      <c r="O91" t="inlineStr">
        <is>
          <t>https://www.medzell.net/company/chatterjee-surgical/</t>
        </is>
      </c>
      <c r="Q91" t="n">
        <v>45</v>
      </c>
      <c r="R91">
        <f>IF(Q91="","",IF(Q91&gt;=60,"HIGH",IF(Q91&gt;=30,"MEDIUM","LOW")))</f>
        <v/>
      </c>
      <c r="S91" t="inlineStr">
        <is>
          <t>New</t>
        </is>
      </c>
      <c r="T91" t="inlineStr">
        <is>
          <t>2026-03-05</t>
        </is>
      </c>
      <c r="U91" t="inlineStr">
        <is>
          <t>Seed=Medzell; Seed-file: output/medzell_company_urls.txt</t>
        </is>
      </c>
    </row>
    <row r="92">
      <c r="A92" t="n">
        <v>91</v>
      </c>
      <c r="B92" t="inlineStr">
        <is>
          <t>Chengdu Fulcare Co., Ltd : Leading Manufacturer of Infection Control, Wound Care, Respiratory Health, and RFID Solutions.</t>
        </is>
      </c>
      <c r="C92" t="inlineStr"/>
      <c r="D92" t="inlineStr">
        <is>
          <t>Manufacturer</t>
        </is>
      </c>
      <c r="E92" t="inlineStr">
        <is>
          <t>PPE</t>
        </is>
      </c>
      <c r="F92" t="inlineStr">
        <is>
          <t>Wound Care, Lab Consumables, Syringes &amp; Needles, IV Infusion Sets, Gauze &amp; Bandages, Disinfectants, IV Cannulas, Catheters</t>
        </is>
      </c>
      <c r="G92" t="inlineStr"/>
      <c r="H92" t="inlineStr">
        <is>
          <t>https://www.medzell.net/main-categories-application/therapeutic-devices/</t>
        </is>
      </c>
      <c r="I92" t="inlineStr">
        <is>
          <t>tom.zhao@fulcare.cn</t>
        </is>
      </c>
      <c r="L92" t="inlineStr">
        <is>
          <t>Stated</t>
        </is>
      </c>
      <c r="M92" t="inlineStr"/>
      <c r="N92" t="inlineStr">
        <is>
          <t>TUV</t>
        </is>
      </c>
      <c r="O92" t="inlineStr">
        <is>
          <t>https://www.medzell.net/company/chengdu-fulcare-coltd/</t>
        </is>
      </c>
      <c r="Q92" t="n">
        <v>10</v>
      </c>
      <c r="R92">
        <f>IF(Q92="","",IF(Q92&gt;=60,"HIGH",IF(Q92&gt;=30,"MEDIUM","LOW")))</f>
        <v/>
      </c>
      <c r="S92" t="inlineStr">
        <is>
          <t>New</t>
        </is>
      </c>
      <c r="T92" t="inlineStr">
        <is>
          <t>2026-03-05</t>
        </is>
      </c>
      <c r="U92" t="inlineStr">
        <is>
          <t>Seed=Medzell; Seed-file: output/medzell_company_urls.txt</t>
        </is>
      </c>
    </row>
    <row r="93">
      <c r="A93" t="n">
        <v>92</v>
      </c>
      <c r="B93" t="inlineStr">
        <is>
          <t>Premium Supplier of Medical Disposables and Wound Care Products</t>
        </is>
      </c>
      <c r="C93" t="inlineStr"/>
      <c r="D93" t="inlineStr">
        <is>
          <t>Manufacturer</t>
        </is>
      </c>
      <c r="E93" t="inlineStr">
        <is>
          <t>PPE</t>
        </is>
      </c>
      <c r="F93" t="inlineStr">
        <is>
          <t>Wound Care, Lab Consumables, Syringes &amp; Needles, IV Infusion Sets, Gauze &amp; Bandages, Disinfectants, IV Cannulas, Catheters</t>
        </is>
      </c>
      <c r="G93" t="inlineStr"/>
      <c r="H93" t="inlineStr">
        <is>
          <t>https://www.medzell.net/main-categories-application/therapeutic-devices/</t>
        </is>
      </c>
      <c r="I93" t="inlineStr">
        <is>
          <t>w118@csd.com.tw</t>
        </is>
      </c>
      <c r="L93" t="inlineStr">
        <is>
          <t>Stated</t>
        </is>
      </c>
      <c r="M93" t="inlineStr"/>
      <c r="N93" t="inlineStr">
        <is>
          <t>FDA, GMP, TUV</t>
        </is>
      </c>
      <c r="O93" t="inlineStr">
        <is>
          <t>https://www.medzell.net/company/china-surgical-dressings-center-co-ltd-csd-taiwan/</t>
        </is>
      </c>
      <c r="Q93" t="n">
        <v>10</v>
      </c>
      <c r="R93">
        <f>IF(Q93="","",IF(Q93&gt;=60,"HIGH",IF(Q93&gt;=30,"MEDIUM","LOW")))</f>
        <v/>
      </c>
      <c r="S93" t="inlineStr">
        <is>
          <t>New</t>
        </is>
      </c>
      <c r="T93" t="inlineStr">
        <is>
          <t>2026-03-05</t>
        </is>
      </c>
      <c r="U93" t="inlineStr">
        <is>
          <t>Seed=Medzell; Seed-file: output/medzell_company_urls.txt</t>
        </is>
      </c>
    </row>
    <row r="94">
      <c r="A94" t="n">
        <v>93</v>
      </c>
      <c r="B94" t="inlineStr">
        <is>
          <t>Chiru Dental Equipments Kerala: Leading Supplier and Exporter of Hospital Furniture and Dental Chairs in India</t>
        </is>
      </c>
      <c r="C94" t="inlineStr"/>
      <c r="D94" t="inlineStr">
        <is>
          <t>Manufacturer</t>
        </is>
      </c>
      <c r="E94" t="inlineStr">
        <is>
          <t>PPE</t>
        </is>
      </c>
      <c r="F94" t="inlineStr">
        <is>
          <t>Wound Care, Lab Consumables, Syringes &amp; Needles, IV Infusion Sets, Gauze &amp; Bandages, Disinfectants, IV Cannulas, Catheters</t>
        </is>
      </c>
      <c r="G94" t="inlineStr"/>
      <c r="H94" t="inlineStr">
        <is>
          <t>https://www.medzell.net/main-categories-application/therapeutic-devices/</t>
        </is>
      </c>
      <c r="I94" t="inlineStr">
        <is>
          <t>chirudentalkerala@gmail.com</t>
        </is>
      </c>
      <c r="L94" t="inlineStr"/>
      <c r="M94" t="inlineStr"/>
      <c r="N94" t="inlineStr">
        <is>
          <t>TUV</t>
        </is>
      </c>
      <c r="O94" t="inlineStr">
        <is>
          <t>https://www.medzell.net/company/chiru-dental-equipments-kerala/</t>
        </is>
      </c>
      <c r="Q94" t="n">
        <v>45</v>
      </c>
      <c r="R94">
        <f>IF(Q94="","",IF(Q94&gt;=60,"HIGH",IF(Q94&gt;=30,"MEDIUM","LOW")))</f>
        <v/>
      </c>
      <c r="S94" t="inlineStr">
        <is>
          <t>New</t>
        </is>
      </c>
      <c r="T94" t="inlineStr">
        <is>
          <t>2026-03-05</t>
        </is>
      </c>
      <c r="U94" t="inlineStr">
        <is>
          <t>Seed=Medzell; Seed-file: output/medzell_company_urls.txt</t>
        </is>
      </c>
    </row>
    <row r="95">
      <c r="A95" t="n">
        <v>94</v>
      </c>
      <c r="B95" t="inlineStr">
        <is>
          <t>Chromadent Dental Equipments: Trusted Manufacturer of High-Quality Dental Equipment</t>
        </is>
      </c>
      <c r="C95" t="inlineStr"/>
      <c r="D95" t="inlineStr">
        <is>
          <t>Manufacturer</t>
        </is>
      </c>
      <c r="E95" t="inlineStr">
        <is>
          <t>PPE</t>
        </is>
      </c>
      <c r="F95" t="inlineStr">
        <is>
          <t>Wound Care, Lab Consumables, Syringes &amp; Needles, IV Infusion Sets, Gauze &amp; Bandages, Disinfectants, IV Cannulas, Catheters</t>
        </is>
      </c>
      <c r="G95" t="inlineStr"/>
      <c r="H95" t="inlineStr">
        <is>
          <t>https://www.medzell.net/main-categories-application/therapeutic-devices/</t>
        </is>
      </c>
      <c r="I95" t="inlineStr">
        <is>
          <t>info@chromadent.com</t>
        </is>
      </c>
      <c r="L95" t="inlineStr"/>
      <c r="M95" t="inlineStr"/>
      <c r="N95" t="inlineStr">
        <is>
          <t>TUV</t>
        </is>
      </c>
      <c r="O95" t="inlineStr">
        <is>
          <t>https://www.medzell.net/company/chromadent-dental-equipment/</t>
        </is>
      </c>
      <c r="Q95" t="n">
        <v>25</v>
      </c>
      <c r="R95">
        <f>IF(Q95="","",IF(Q95&gt;=60,"HIGH",IF(Q95&gt;=30,"MEDIUM","LOW")))</f>
        <v/>
      </c>
      <c r="S95" t="inlineStr">
        <is>
          <t>New</t>
        </is>
      </c>
      <c r="T95" t="inlineStr">
        <is>
          <t>2026-03-05</t>
        </is>
      </c>
      <c r="U95" t="inlineStr">
        <is>
          <t>Seed=Medzell; Seed-file: output/medzell_company_urls.txt</t>
        </is>
      </c>
    </row>
    <row r="96">
      <c r="A96" t="n">
        <v>95</v>
      </c>
      <c r="B96" t="inlineStr">
        <is>
          <t>Cistron Systems Pvt. Ltd. - High-Quality Medical Equipment Manufacturer for Healthcare Needs</t>
        </is>
      </c>
      <c r="C96" t="inlineStr"/>
      <c r="D96" t="inlineStr">
        <is>
          <t>Manufacturer</t>
        </is>
      </c>
      <c r="E96" t="inlineStr">
        <is>
          <t>PPE</t>
        </is>
      </c>
      <c r="F96" t="inlineStr">
        <is>
          <t>Wound Care, Lab Consumables, Syringes &amp; Needles, IV Infusion Sets, Gauze &amp; Bandages, Disinfectants, IV Cannulas, Catheters</t>
        </is>
      </c>
      <c r="G96" t="inlineStr"/>
      <c r="H96" t="inlineStr">
        <is>
          <t>https://www.medzell.net/main-categories-application/therapeutic-devices/</t>
        </is>
      </c>
      <c r="I96" t="inlineStr">
        <is>
          <t>murali@cistronsystems.com</t>
        </is>
      </c>
      <c r="L96" t="inlineStr">
        <is>
          <t>Stated</t>
        </is>
      </c>
      <c r="M96" t="inlineStr"/>
      <c r="N96" t="inlineStr">
        <is>
          <t>TUV</t>
        </is>
      </c>
      <c r="O96" t="inlineStr">
        <is>
          <t>https://www.medzell.net/company/cistron-systems-private-limited/</t>
        </is>
      </c>
      <c r="Q96" t="n">
        <v>10</v>
      </c>
      <c r="R96">
        <f>IF(Q96="","",IF(Q96&gt;=60,"HIGH",IF(Q96&gt;=30,"MEDIUM","LOW")))</f>
        <v/>
      </c>
      <c r="S96" t="inlineStr">
        <is>
          <t>New</t>
        </is>
      </c>
      <c r="T96" t="inlineStr">
        <is>
          <t>2026-03-05</t>
        </is>
      </c>
      <c r="U96" t="inlineStr">
        <is>
          <t>Seed=Medzell; Seed-file: output/medzell_company_urls.txt</t>
        </is>
      </c>
    </row>
    <row r="97">
      <c r="A97" t="n">
        <v>96</v>
      </c>
      <c r="B97" t="inlineStr">
        <is>
          <t>Advanced Obstetrics, Gynecology &amp; Urology Solutions - Simurg Medical Enterprise</t>
        </is>
      </c>
      <c r="C97" t="inlineStr"/>
      <c r="D97" t="inlineStr">
        <is>
          <t>Manufacturer</t>
        </is>
      </c>
      <c r="E97" t="inlineStr">
        <is>
          <t>PPE</t>
        </is>
      </c>
      <c r="F97" t="inlineStr">
        <is>
          <t>Wound Care, Lab Consumables, Syringes &amp; Needles, IV Infusion Sets, Catheters, Gauze &amp; Bandages, Disinfectants, IV Cannulas</t>
        </is>
      </c>
      <c r="G97" t="inlineStr"/>
      <c r="H97" t="inlineStr">
        <is>
          <t>https://www.medzell.net/main-categories-application/therapeutic-devices/</t>
        </is>
      </c>
      <c r="I97" t="inlineStr">
        <is>
          <t>nms@simurg.by</t>
        </is>
      </c>
      <c r="L97" t="inlineStr"/>
      <c r="M97" t="inlineStr"/>
      <c r="N97" t="inlineStr">
        <is>
          <t>TUV</t>
        </is>
      </c>
      <c r="O97" t="inlineStr">
        <is>
          <t>https://www.medzell.net/company/cjsc-simurg-medical-enterprise/</t>
        </is>
      </c>
      <c r="Q97" t="n">
        <v>25</v>
      </c>
      <c r="R97">
        <f>IF(Q97="","",IF(Q97&gt;=60,"HIGH",IF(Q97&gt;=30,"MEDIUM","LOW")))</f>
        <v/>
      </c>
      <c r="S97" t="inlineStr">
        <is>
          <t>New</t>
        </is>
      </c>
      <c r="T97" t="inlineStr">
        <is>
          <t>2026-03-05</t>
        </is>
      </c>
      <c r="U97" t="inlineStr">
        <is>
          <t>Seed=Medzell; Seed-file: output/medzell_company_urls.txt</t>
        </is>
      </c>
    </row>
    <row r="98">
      <c r="A98" t="n">
        <v>97</v>
      </c>
      <c r="B98" t="inlineStr">
        <is>
          <t>Leading Manufacturer of Medical Gadgets and Solutions - Clarity Medical Pvt. Ltd.</t>
        </is>
      </c>
      <c r="C98" t="inlineStr"/>
      <c r="D98" t="inlineStr">
        <is>
          <t>Manufacturer</t>
        </is>
      </c>
      <c r="E98" t="inlineStr">
        <is>
          <t>PPE</t>
        </is>
      </c>
      <c r="F98" t="inlineStr">
        <is>
          <t>Wound Care, Lab Consumables, Syringes &amp; Needles, IV Infusion Sets, Catheters, Gauze &amp; Bandages, Disinfectants, IV Cannulas</t>
        </is>
      </c>
      <c r="G98" t="inlineStr"/>
      <c r="H98" t="inlineStr">
        <is>
          <t>https://www.medzell.net/main-categories-application/therapeutic-devices/</t>
        </is>
      </c>
      <c r="I98" t="inlineStr">
        <is>
          <t>sahib.bhatia@clarity-medical.com</t>
        </is>
      </c>
      <c r="L98" t="inlineStr"/>
      <c r="M98" t="inlineStr">
        <is>
          <t>Stated</t>
        </is>
      </c>
      <c r="N98" t="inlineStr">
        <is>
          <t>FDA, TUV</t>
        </is>
      </c>
      <c r="O98" t="inlineStr">
        <is>
          <t>https://www.medzell.net/company/clarity-medical/</t>
        </is>
      </c>
      <c r="Q98" t="n">
        <v>15</v>
      </c>
      <c r="R98">
        <f>IF(Q98="","",IF(Q98&gt;=60,"HIGH",IF(Q98&gt;=30,"MEDIUM","LOW")))</f>
        <v/>
      </c>
      <c r="S98" t="inlineStr">
        <is>
          <t>New</t>
        </is>
      </c>
      <c r="T98" t="inlineStr">
        <is>
          <t>2026-03-05</t>
        </is>
      </c>
      <c r="U98" t="inlineStr">
        <is>
          <t>Seed=Medzell; Seed-file: output/medzell_company_urls.txt</t>
        </is>
      </c>
    </row>
    <row r="99">
      <c r="A99" t="n">
        <v>98</v>
      </c>
      <c r="B99" t="inlineStr">
        <is>
          <t>Leading Manufacturer of DVT Pumps, Air Mattresses, and More - Codex Solutions</t>
        </is>
      </c>
      <c r="C99" t="inlineStr"/>
      <c r="D99" t="inlineStr">
        <is>
          <t>Manufacturer</t>
        </is>
      </c>
      <c r="E99" t="inlineStr">
        <is>
          <t>PPE</t>
        </is>
      </c>
      <c r="F99" t="inlineStr">
        <is>
          <t>Wound Care, Lab Consumables, Syringes &amp; Needles, IV Infusion Sets, Gauze &amp; Bandages, Disinfectants, IV Cannulas, Catheters</t>
        </is>
      </c>
      <c r="G99" t="inlineStr"/>
      <c r="H99" t="inlineStr">
        <is>
          <t>https://www.medzell.net/main-categories-application/therapeutic-devices/</t>
        </is>
      </c>
      <c r="I99" t="inlineStr">
        <is>
          <t>kedar@codexgpo.com</t>
        </is>
      </c>
      <c r="L99" t="inlineStr">
        <is>
          <t>Stated</t>
        </is>
      </c>
      <c r="M99" t="inlineStr">
        <is>
          <t>Stated</t>
        </is>
      </c>
      <c r="N99" t="inlineStr">
        <is>
          <t>TUV</t>
        </is>
      </c>
      <c r="O99" t="inlineStr">
        <is>
          <t>https://www.medzell.net/company/codex-solutions/</t>
        </is>
      </c>
      <c r="Q99" t="n">
        <v>0</v>
      </c>
      <c r="R99">
        <f>IF(Q99="","",IF(Q99&gt;=60,"HIGH",IF(Q99&gt;=30,"MEDIUM","LOW")))</f>
        <v/>
      </c>
      <c r="S99" t="inlineStr">
        <is>
          <t>New</t>
        </is>
      </c>
      <c r="T99" t="inlineStr">
        <is>
          <t>2026-03-05</t>
        </is>
      </c>
      <c r="U99" t="inlineStr">
        <is>
          <t>Seed=Medzell; Seed-file: output/medzell_company_urls.txt</t>
        </is>
      </c>
    </row>
    <row r="100">
      <c r="A100" t="n">
        <v>99</v>
      </c>
      <c r="B100" t="inlineStr">
        <is>
          <t>Cutting-Edge Neurocognitive Equipment for Diagnosis and Therapy | COEXIN Technologies Healthcare</t>
        </is>
      </c>
      <c r="C100" t="inlineStr"/>
      <c r="D100" t="inlineStr">
        <is>
          <t>Manufacturer</t>
        </is>
      </c>
      <c r="E100" t="inlineStr">
        <is>
          <t>PPE</t>
        </is>
      </c>
      <c r="F100" t="inlineStr">
        <is>
          <t>Wound Care, Lab Consumables, Syringes &amp; Needles, IV Infusion Sets, Catheters, Gauze &amp; Bandages, Disinfectants, IV Cannulas</t>
        </is>
      </c>
      <c r="G100" t="inlineStr"/>
      <c r="H100" t="inlineStr">
        <is>
          <t>https://www.medzell.net/main-categories-application/therapeutic-devices/</t>
        </is>
      </c>
      <c r="I100" t="inlineStr">
        <is>
          <t>arshadkoya@gmail.com</t>
        </is>
      </c>
      <c r="L100" t="inlineStr">
        <is>
          <t>Stated</t>
        </is>
      </c>
      <c r="M100" t="inlineStr"/>
      <c r="N100" t="inlineStr">
        <is>
          <t>TUV</t>
        </is>
      </c>
      <c r="O100" t="inlineStr">
        <is>
          <t>https://www.medzell.net/company/coexin-technologies-healthcare-private-limited/</t>
        </is>
      </c>
      <c r="Q100" t="n">
        <v>30</v>
      </c>
      <c r="R100">
        <f>IF(Q100="","",IF(Q100&gt;=60,"HIGH",IF(Q100&gt;=30,"MEDIUM","LOW")))</f>
        <v/>
      </c>
      <c r="S100" t="inlineStr">
        <is>
          <t>New</t>
        </is>
      </c>
      <c r="T100" t="inlineStr">
        <is>
          <t>2026-03-05</t>
        </is>
      </c>
      <c r="U100" t="inlineStr">
        <is>
          <t>Seed=Medzell; Seed-file: output/medzell_company_urls.txt</t>
        </is>
      </c>
    </row>
    <row r="101">
      <c r="A101" t="n">
        <v>100</v>
      </c>
      <c r="B101" t="inlineStr">
        <is>
          <t>Cologenesis Healthcare Pvt. Ltd.: Leading the Future of Collagen-Based Biomedical Solutions</t>
        </is>
      </c>
      <c r="C101" t="inlineStr"/>
      <c r="D101" t="inlineStr">
        <is>
          <t>Manufacturer</t>
        </is>
      </c>
      <c r="E101" t="inlineStr">
        <is>
          <t>PPE</t>
        </is>
      </c>
      <c r="F101" t="inlineStr">
        <is>
          <t>Wound Care, Lab Consumables, Syringes &amp; Needles, IV Infusion Sets, Gauze &amp; Bandages, Disinfectants, IV Cannulas, Catheters</t>
        </is>
      </c>
      <c r="G101" t="inlineStr"/>
      <c r="H101" t="inlineStr">
        <is>
          <t>https://www.medzell.net/main-categories-application/therapeutic-devices/</t>
        </is>
      </c>
      <c r="I101" t="inlineStr">
        <is>
          <t>sales@cologenesis.com</t>
        </is>
      </c>
      <c r="L101" t="inlineStr"/>
      <c r="M101" t="inlineStr"/>
      <c r="N101" t="inlineStr">
        <is>
          <t>TUV</t>
        </is>
      </c>
      <c r="O101" t="inlineStr">
        <is>
          <t>https://www.medzell.net/company/cologenesis-healthcare-pvt-ltd/</t>
        </is>
      </c>
      <c r="Q101" t="n">
        <v>25</v>
      </c>
      <c r="R101">
        <f>IF(Q101="","",IF(Q101&gt;=60,"HIGH",IF(Q101&gt;=30,"MEDIUM","LOW")))</f>
        <v/>
      </c>
      <c r="S101" t="inlineStr">
        <is>
          <t>New</t>
        </is>
      </c>
      <c r="T101" t="inlineStr">
        <is>
          <t>2026-03-05</t>
        </is>
      </c>
      <c r="U101" t="inlineStr">
        <is>
          <t>Seed=Medzell; Seed-file: output/medzell_company_urls.txt</t>
        </is>
      </c>
    </row>
    <row r="102">
      <c r="A102" t="n">
        <v>101</v>
      </c>
      <c r="B102" t="inlineStr">
        <is>
          <t>Empowering Innovation: Confident Electronics - Medical-Grade Sterilizers &amp; Air Compressors</t>
        </is>
      </c>
      <c r="C102" t="inlineStr"/>
      <c r="D102" t="inlineStr">
        <is>
          <t>Manufacturer</t>
        </is>
      </c>
      <c r="E102" t="inlineStr">
        <is>
          <t>PPE</t>
        </is>
      </c>
      <c r="F102" t="inlineStr">
        <is>
          <t>Wound Care, Lab Consumables, Syringes &amp; Needles, IV Infusion Sets, Gauze &amp; Bandages, Disinfectants, IV Cannulas, Catheters</t>
        </is>
      </c>
      <c r="G102" t="inlineStr"/>
      <c r="H102" t="inlineStr">
        <is>
          <t>https://www.medzell.net/main-categories-application/therapeutic-devices/</t>
        </is>
      </c>
      <c r="I102" t="inlineStr">
        <is>
          <t>sales01@confidentelectronics.com</t>
        </is>
      </c>
      <c r="L102" t="inlineStr">
        <is>
          <t>Stated</t>
        </is>
      </c>
      <c r="M102" t="inlineStr"/>
      <c r="N102" t="inlineStr">
        <is>
          <t>TUV</t>
        </is>
      </c>
      <c r="O102" t="inlineStr">
        <is>
          <t>https://www.medzell.net/company/confident-electronics-pvt-ltd/</t>
        </is>
      </c>
      <c r="Q102" t="n">
        <v>10</v>
      </c>
      <c r="R102">
        <f>IF(Q102="","",IF(Q102&gt;=60,"HIGH",IF(Q102&gt;=30,"MEDIUM","LOW")))</f>
        <v/>
      </c>
      <c r="S102" t="inlineStr">
        <is>
          <t>New</t>
        </is>
      </c>
      <c r="T102" t="inlineStr">
        <is>
          <t>2026-03-05</t>
        </is>
      </c>
      <c r="U102" t="inlineStr">
        <is>
          <t>Seed=Medzell; Seed-file: output/medzell_company_urls.txt</t>
        </is>
      </c>
    </row>
    <row r="103">
      <c r="A103" t="n">
        <v>102</v>
      </c>
      <c r="B103" t="inlineStr">
        <is>
          <t>Comfortable and Fresh Healthwear for Professionals | COOLMEDZ Healthwear Pvt Ltd</t>
        </is>
      </c>
      <c r="C103" t="inlineStr"/>
      <c r="D103" t="inlineStr">
        <is>
          <t>Manufacturer</t>
        </is>
      </c>
      <c r="E103" t="inlineStr">
        <is>
          <t>PPE</t>
        </is>
      </c>
      <c r="F103" t="inlineStr">
        <is>
          <t>Wound Care, Lab Consumables, Syringes &amp; Needles, IV Infusion Sets, Gauze &amp; Bandages, Disinfectants, IV Cannulas, Catheters</t>
        </is>
      </c>
      <c r="G103" t="inlineStr"/>
      <c r="H103" t="inlineStr">
        <is>
          <t>https://www.medzell.net/main-categories-application/therapeutic-devices/</t>
        </is>
      </c>
      <c r="I103" t="inlineStr">
        <is>
          <t>vishlav@coolmedz.com</t>
        </is>
      </c>
      <c r="L103" t="inlineStr"/>
      <c r="M103" t="inlineStr"/>
      <c r="N103" t="inlineStr">
        <is>
          <t>TUV</t>
        </is>
      </c>
      <c r="O103" t="inlineStr">
        <is>
          <t>https://www.medzell.net/company/coolmedz-healthwear/</t>
        </is>
      </c>
      <c r="Q103" t="n">
        <v>25</v>
      </c>
      <c r="R103">
        <f>IF(Q103="","",IF(Q103&gt;=60,"HIGH",IF(Q103&gt;=30,"MEDIUM","LOW")))</f>
        <v/>
      </c>
      <c r="S103" t="inlineStr">
        <is>
          <t>New</t>
        </is>
      </c>
      <c r="T103" t="inlineStr">
        <is>
          <t>2026-03-05</t>
        </is>
      </c>
      <c r="U103" t="inlineStr">
        <is>
          <t>Seed=Medzell; Seed-file: output/medzell_company_urls.txt</t>
        </is>
      </c>
    </row>
    <row r="104">
      <c r="A104" t="n">
        <v>103</v>
      </c>
      <c r="B104" t="inlineStr">
        <is>
          <t>Core Clean – Innovating Hygiene with Sustainable &amp; Effective Disinfecting Wipes</t>
        </is>
      </c>
      <c r="C104" t="inlineStr"/>
      <c r="D104" t="inlineStr">
        <is>
          <t>Manufacturer</t>
        </is>
      </c>
      <c r="E104" t="inlineStr">
        <is>
          <t>PPE</t>
        </is>
      </c>
      <c r="F104" t="inlineStr">
        <is>
          <t>Wound Care, Lab Consumables, Syringes &amp; Needles, IV Infusion Sets, Gauze &amp; Bandages, Disinfectants, IV Cannulas, Catheters</t>
        </is>
      </c>
      <c r="G104" t="inlineStr"/>
      <c r="H104" t="inlineStr">
        <is>
          <t>https://www.medzell.net/main-categories-application/therapeutic-devices/</t>
        </is>
      </c>
      <c r="I104" t="inlineStr">
        <is>
          <t>contact@thecorecleancompany.com</t>
        </is>
      </c>
      <c r="L104" t="inlineStr"/>
      <c r="M104" t="inlineStr"/>
      <c r="N104" t="inlineStr">
        <is>
          <t>FDA, GMP, TUV</t>
        </is>
      </c>
      <c r="O104" t="inlineStr">
        <is>
          <t>https://www.medzell.net/company/core-clean-private-limited/</t>
        </is>
      </c>
      <c r="Q104" t="n">
        <v>25</v>
      </c>
      <c r="R104">
        <f>IF(Q104="","",IF(Q104&gt;=60,"HIGH",IF(Q104&gt;=30,"MEDIUM","LOW")))</f>
        <v/>
      </c>
      <c r="S104" t="inlineStr">
        <is>
          <t>New</t>
        </is>
      </c>
      <c r="T104" t="inlineStr">
        <is>
          <t>2026-03-05</t>
        </is>
      </c>
      <c r="U104" t="inlineStr">
        <is>
          <t>Seed=Medzell; Seed-file: output/medzell_company_urls.txt</t>
        </is>
      </c>
    </row>
    <row r="105">
      <c r="A105" t="n">
        <v>104</v>
      </c>
      <c r="B105" t="inlineStr">
        <is>
          <t>Crimson Healthcare – Advanced Ostomy Care for a Confident, Pouch-Free Life</t>
        </is>
      </c>
      <c r="C105" t="inlineStr"/>
      <c r="D105" t="inlineStr">
        <is>
          <t>Manufacturer</t>
        </is>
      </c>
      <c r="E105" t="inlineStr">
        <is>
          <t>PPE</t>
        </is>
      </c>
      <c r="F105" t="inlineStr">
        <is>
          <t>Wound Care, Lab Consumables, Syringes &amp; Needles, IV Infusion Sets, Gauze &amp; Bandages, Disinfectants, IV Cannulas, Catheters</t>
        </is>
      </c>
      <c r="G105" t="inlineStr"/>
      <c r="H105" t="inlineStr">
        <is>
          <t>https://www.medzell.net/main-categories-application/therapeutic-devices/</t>
        </is>
      </c>
      <c r="I105" t="inlineStr">
        <is>
          <t>pchopra@crimsonhealthcare.in</t>
        </is>
      </c>
      <c r="L105" t="inlineStr"/>
      <c r="M105" t="inlineStr"/>
      <c r="N105" t="inlineStr">
        <is>
          <t>TUV</t>
        </is>
      </c>
      <c r="O105" t="inlineStr">
        <is>
          <t>https://www.medzell.net/company/crimson-healthcare-pvt-ltd/</t>
        </is>
      </c>
      <c r="Q105" t="n">
        <v>25</v>
      </c>
      <c r="R105">
        <f>IF(Q105="","",IF(Q105&gt;=60,"HIGH",IF(Q105&gt;=30,"MEDIUM","LOW")))</f>
        <v/>
      </c>
      <c r="S105" t="inlineStr">
        <is>
          <t>New</t>
        </is>
      </c>
      <c r="T105" t="inlineStr">
        <is>
          <t>2026-03-05</t>
        </is>
      </c>
      <c r="U105" t="inlineStr">
        <is>
          <t>Seed=Medzell; Seed-file: output/medzell_company_urls.txt</t>
        </is>
      </c>
    </row>
    <row r="106">
      <c r="A106" t="n">
        <v>105</v>
      </c>
      <c r="B106" t="inlineStr">
        <is>
          <t>Cruzine Healthcare Private Limited</t>
        </is>
      </c>
      <c r="C106" t="inlineStr"/>
      <c r="D106" t="inlineStr">
        <is>
          <t>Manufacturer</t>
        </is>
      </c>
      <c r="E106" t="inlineStr">
        <is>
          <t>PPE</t>
        </is>
      </c>
      <c r="F106" t="inlineStr">
        <is>
          <t>Wound Care, Catheters, Syringes &amp; Needles, IV Infusion Sets, Gauze &amp; Bandages, Disinfectants, Lab Consumables, Gloves, IV Cannulas</t>
        </is>
      </c>
      <c r="G106" t="inlineStr"/>
      <c r="H106" t="inlineStr">
        <is>
          <t>https://www.medzell.net/main-categories-application/therapeutic-devices/</t>
        </is>
      </c>
      <c r="I106" t="inlineStr">
        <is>
          <t>eshop.cruzine@gmail.com</t>
        </is>
      </c>
      <c r="L106" t="inlineStr">
        <is>
          <t>Stated</t>
        </is>
      </c>
      <c r="M106" t="inlineStr"/>
      <c r="N106" t="inlineStr">
        <is>
          <t>FDA, GMP, TUV</t>
        </is>
      </c>
      <c r="O106" t="inlineStr">
        <is>
          <t>https://www.medzell.net/company/cruzine-healthcare-private-limited/</t>
        </is>
      </c>
      <c r="Q106" t="n">
        <v>30</v>
      </c>
      <c r="R106">
        <f>IF(Q106="","",IF(Q106&gt;=60,"HIGH",IF(Q106&gt;=30,"MEDIUM","LOW")))</f>
        <v/>
      </c>
      <c r="S106" t="inlineStr">
        <is>
          <t>New</t>
        </is>
      </c>
      <c r="T106" t="inlineStr">
        <is>
          <t>2026-03-05</t>
        </is>
      </c>
      <c r="U106" t="inlineStr">
        <is>
          <t>Seed=Medzell; Seed-file: output/medzell_company_urls.txt</t>
        </is>
      </c>
    </row>
    <row r="107">
      <c r="A107" t="n">
        <v>106</v>
      </c>
      <c r="B107" t="inlineStr">
        <is>
          <t>Cureous Labs: Pioneering Technologies for Patient Turning and Repositioning Supports</t>
        </is>
      </c>
      <c r="C107" t="inlineStr"/>
      <c r="D107" t="inlineStr">
        <is>
          <t>Manufacturer</t>
        </is>
      </c>
      <c r="E107" t="inlineStr">
        <is>
          <t>PPE</t>
        </is>
      </c>
      <c r="F107" t="inlineStr">
        <is>
          <t>Wound Care, Lab Consumables, Syringes &amp; Needles, IV Infusion Sets, Gauze &amp; Bandages, Disinfectants, IV Cannulas, Catheters</t>
        </is>
      </c>
      <c r="G107" t="inlineStr"/>
      <c r="H107" t="inlineStr">
        <is>
          <t>https://www.medzell.net/main-categories-application/therapeutic-devices/</t>
        </is>
      </c>
      <c r="I107" t="inlineStr">
        <is>
          <t>asish@cureous.in</t>
        </is>
      </c>
      <c r="L107" t="inlineStr"/>
      <c r="M107" t="inlineStr"/>
      <c r="N107" t="inlineStr">
        <is>
          <t>TUV</t>
        </is>
      </c>
      <c r="O107" t="inlineStr">
        <is>
          <t>https://www.medzell.net/company/cureous-labs-private-limited/</t>
        </is>
      </c>
      <c r="Q107" t="n">
        <v>25</v>
      </c>
      <c r="R107">
        <f>IF(Q107="","",IF(Q107&gt;=60,"HIGH",IF(Q107&gt;=30,"MEDIUM","LOW")))</f>
        <v/>
      </c>
      <c r="S107" t="inlineStr">
        <is>
          <t>New</t>
        </is>
      </c>
      <c r="T107" t="inlineStr">
        <is>
          <t>2026-03-05</t>
        </is>
      </c>
      <c r="U107" t="inlineStr">
        <is>
          <t>Seed=Medzell; Seed-file: output/medzell_company_urls.txt</t>
        </is>
      </c>
    </row>
    <row r="108">
      <c r="A108" t="n">
        <v>107</v>
      </c>
      <c r="B108" t="inlineStr">
        <is>
          <t>DAS srl | Innovating In Vitro Diagnostics &amp; Automated Imaging Systems</t>
        </is>
      </c>
      <c r="C108" t="inlineStr"/>
      <c r="D108" t="inlineStr">
        <is>
          <t>Manufacturer</t>
        </is>
      </c>
      <c r="E108" t="inlineStr">
        <is>
          <t>PPE</t>
        </is>
      </c>
      <c r="F108" t="inlineStr">
        <is>
          <t>Wound Care, Lab Consumables, Syringes &amp; Needles, IV Infusion Sets, Gauze &amp; Bandages, Disinfectants, IV Cannulas, Catheters</t>
        </is>
      </c>
      <c r="G108" t="inlineStr"/>
      <c r="H108" t="inlineStr">
        <is>
          <t>https://www.medzell.net/main-categories-application/therapeutic-devices/</t>
        </is>
      </c>
      <c r="I108" t="inlineStr">
        <is>
          <t>info@dasitaly.com</t>
        </is>
      </c>
      <c r="L108" t="inlineStr">
        <is>
          <t>Stated</t>
        </is>
      </c>
      <c r="M108" t="inlineStr"/>
      <c r="N108" t="inlineStr">
        <is>
          <t>TUV</t>
        </is>
      </c>
      <c r="O108" t="inlineStr">
        <is>
          <t>https://www.medzell.net/company/das-srl/</t>
        </is>
      </c>
      <c r="Q108" t="n">
        <v>10</v>
      </c>
      <c r="R108">
        <f>IF(Q108="","",IF(Q108&gt;=60,"HIGH",IF(Q108&gt;=30,"MEDIUM","LOW")))</f>
        <v/>
      </c>
      <c r="S108" t="inlineStr">
        <is>
          <t>New</t>
        </is>
      </c>
      <c r="T108" t="inlineStr">
        <is>
          <t>2026-03-05</t>
        </is>
      </c>
      <c r="U108" t="inlineStr">
        <is>
          <t>Seed=Medzell; Seed-file: output/medzell_company_urls.txt</t>
        </is>
      </c>
    </row>
    <row r="109">
      <c r="A109" t="n">
        <v>108</v>
      </c>
      <c r="B109" t="inlineStr">
        <is>
          <t>Decibell's Gold Prosthesis Pvt. Ltd. - Innovative Micro-Surgery Prostheses for Ear, Nose, and Throat</t>
        </is>
      </c>
      <c r="C109" t="inlineStr"/>
      <c r="D109" t="inlineStr">
        <is>
          <t>Manufacturer</t>
        </is>
      </c>
      <c r="E109" t="inlineStr">
        <is>
          <t>PPE</t>
        </is>
      </c>
      <c r="F109" t="inlineStr">
        <is>
          <t>Wound Care, Lab Consumables, Syringes &amp; Needles, IV Infusion Sets, Gauze &amp; Bandages, Disinfectants, IV Cannulas, Catheters</t>
        </is>
      </c>
      <c r="G109" t="inlineStr"/>
      <c r="H109" t="inlineStr">
        <is>
          <t>https://www.medzell.net/main-categories-application/therapeutic-devices/</t>
        </is>
      </c>
      <c r="I109" t="inlineStr">
        <is>
          <t>decibellspharmacal@yahoo.com</t>
        </is>
      </c>
      <c r="L109" t="inlineStr"/>
      <c r="M109" t="inlineStr"/>
      <c r="N109" t="inlineStr">
        <is>
          <t>TUV</t>
        </is>
      </c>
      <c r="O109" t="inlineStr">
        <is>
          <t>https://www.medzell.net/company/decibells-gold-prosthesis-private-limited/</t>
        </is>
      </c>
      <c r="Q109" t="n">
        <v>45</v>
      </c>
      <c r="R109">
        <f>IF(Q109="","",IF(Q109&gt;=60,"HIGH",IF(Q109&gt;=30,"MEDIUM","LOW")))</f>
        <v/>
      </c>
      <c r="S109" t="inlineStr">
        <is>
          <t>New</t>
        </is>
      </c>
      <c r="T109" t="inlineStr">
        <is>
          <t>2026-03-05</t>
        </is>
      </c>
      <c r="U109" t="inlineStr">
        <is>
          <t>Seed=Medzell; Seed-file: output/medzell_company_urls.txt</t>
        </is>
      </c>
    </row>
    <row r="110">
      <c r="A110" t="n">
        <v>109</v>
      </c>
      <c r="B110" t="inlineStr">
        <is>
          <t>Deck Mount Electronics: Innovative MedTech Solutions for India's Respiratory Product Shortage</t>
        </is>
      </c>
      <c r="C110" t="inlineStr"/>
      <c r="D110" t="inlineStr">
        <is>
          <t>Manufacturer</t>
        </is>
      </c>
      <c r="E110" t="inlineStr">
        <is>
          <t>PPE</t>
        </is>
      </c>
      <c r="F110" t="inlineStr">
        <is>
          <t>Wound Care, Lab Consumables, Syringes &amp; Needles, IV Infusion Sets, Gauze &amp; Bandages, Disinfectants, IV Cannulas, Catheters</t>
        </is>
      </c>
      <c r="G110" t="inlineStr"/>
      <c r="H110" t="inlineStr">
        <is>
          <t>https://www.medzell.net/main-categories-application/therapeutic-devices/</t>
        </is>
      </c>
      <c r="I110" t="inlineStr">
        <is>
          <t>pawan.dhami@deckmount.in</t>
        </is>
      </c>
      <c r="L110" t="inlineStr">
        <is>
          <t>Stated</t>
        </is>
      </c>
      <c r="M110" t="inlineStr"/>
      <c r="N110" t="inlineStr">
        <is>
          <t>TUV</t>
        </is>
      </c>
      <c r="O110" t="inlineStr">
        <is>
          <t>https://www.medzell.net/company/deck-mount-electronics/</t>
        </is>
      </c>
      <c r="Q110" t="n">
        <v>10</v>
      </c>
      <c r="R110">
        <f>IF(Q110="","",IF(Q110&gt;=60,"HIGH",IF(Q110&gt;=30,"MEDIUM","LOW")))</f>
        <v/>
      </c>
      <c r="S110" t="inlineStr">
        <is>
          <t>New</t>
        </is>
      </c>
      <c r="T110" t="inlineStr">
        <is>
          <t>2026-03-05</t>
        </is>
      </c>
      <c r="U110" t="inlineStr">
        <is>
          <t>Seed=Medzell; Seed-file: output/medzell_company_urls.txt</t>
        </is>
      </c>
    </row>
    <row r="111">
      <c r="A111" t="n">
        <v>110</v>
      </c>
      <c r="B111" t="inlineStr">
        <is>
          <t>DEEPAK Group: Trusted Provider of Quality Medical Equipment and Consumables Since 1975</t>
        </is>
      </c>
      <c r="C111" t="inlineStr"/>
      <c r="D111" t="inlineStr">
        <is>
          <t>Manufacturer</t>
        </is>
      </c>
      <c r="E111" t="inlineStr">
        <is>
          <t>PPE</t>
        </is>
      </c>
      <c r="F111" t="inlineStr">
        <is>
          <t>Wound Care, IV Infusion Sets, Gauze &amp; Bandages, Lab Consumables, Syringes &amp; Needles, Disinfectants, IV Cannulas, Catheters</t>
        </is>
      </c>
      <c r="G111" t="inlineStr"/>
      <c r="H111" t="inlineStr">
        <is>
          <t>https://www.medzell.net/main-categories-application/therapeutic-devices/</t>
        </is>
      </c>
      <c r="I111" t="inlineStr">
        <is>
          <t>saf@deepakcare.com</t>
        </is>
      </c>
      <c r="L111" t="inlineStr">
        <is>
          <t>Stated</t>
        </is>
      </c>
      <c r="M111" t="inlineStr"/>
      <c r="N111" t="inlineStr">
        <is>
          <t>GMP, TUV</t>
        </is>
      </c>
      <c r="O111" t="inlineStr">
        <is>
          <t>https://www.medzell.net/company/deepak-care-limited/</t>
        </is>
      </c>
      <c r="Q111" t="n">
        <v>10</v>
      </c>
      <c r="R111">
        <f>IF(Q111="","",IF(Q111&gt;=60,"HIGH",IF(Q111&gt;=30,"MEDIUM","LOW")))</f>
        <v/>
      </c>
      <c r="S111" t="inlineStr">
        <is>
          <t>New</t>
        </is>
      </c>
      <c r="T111" t="inlineStr">
        <is>
          <t>2026-03-05</t>
        </is>
      </c>
      <c r="U111" t="inlineStr">
        <is>
          <t>Seed=Medzell; Seed-file: output/medzell_company_urls.txt</t>
        </is>
      </c>
    </row>
    <row r="112">
      <c r="A112" t="n">
        <v>111</v>
      </c>
      <c r="B112" t="inlineStr">
        <is>
          <t>Top Quality Medical Equipment: Beds, Scissors, Stretchers - Deluxe Scientific Surgico</t>
        </is>
      </c>
      <c r="C112" t="inlineStr"/>
      <c r="D112" t="inlineStr">
        <is>
          <t>Manufacturer</t>
        </is>
      </c>
      <c r="E112" t="inlineStr">
        <is>
          <t>PPE</t>
        </is>
      </c>
      <c r="F112" t="inlineStr">
        <is>
          <t>Wound Care, Lab Consumables, Syringes &amp; Needles, IV Infusion Sets, Gauze &amp; Bandages, Disinfectants, IV Cannulas, Catheters</t>
        </is>
      </c>
      <c r="G112" t="inlineStr"/>
      <c r="H112" t="inlineStr">
        <is>
          <t>https://www.medzell.net/main-categories-application/therapeutic-devices/</t>
        </is>
      </c>
      <c r="I112" t="inlineStr">
        <is>
          <t>descoretailmkt@gmail.com</t>
        </is>
      </c>
      <c r="L112" t="inlineStr">
        <is>
          <t>Stated</t>
        </is>
      </c>
      <c r="M112" t="inlineStr"/>
      <c r="N112" t="inlineStr">
        <is>
          <t>TUV</t>
        </is>
      </c>
      <c r="O112" t="inlineStr">
        <is>
          <t>https://www.medzell.net/company/deluxe-scientific-surgico-pvt-ltd/</t>
        </is>
      </c>
      <c r="Q112" t="n">
        <v>30</v>
      </c>
      <c r="R112">
        <f>IF(Q112="","",IF(Q112&gt;=60,"HIGH",IF(Q112&gt;=30,"MEDIUM","LOW")))</f>
        <v/>
      </c>
      <c r="S112" t="inlineStr">
        <is>
          <t>New</t>
        </is>
      </c>
      <c r="T112" t="inlineStr">
        <is>
          <t>2026-03-05</t>
        </is>
      </c>
      <c r="U112" t="inlineStr">
        <is>
          <t>Seed=Medzell; Seed-file: output/medzell_company_urls.txt</t>
        </is>
      </c>
    </row>
    <row r="113">
      <c r="A113" t="n">
        <v>112</v>
      </c>
      <c r="B113" t="inlineStr">
        <is>
          <t>Devine Meditech – Leading Manufacturer of Intraocular Lenses and Ophthalmic Devices in India</t>
        </is>
      </c>
      <c r="C113" t="inlineStr"/>
      <c r="D113" t="inlineStr">
        <is>
          <t>Manufacturer</t>
        </is>
      </c>
      <c r="E113" t="inlineStr">
        <is>
          <t>PPE</t>
        </is>
      </c>
      <c r="F113" t="inlineStr">
        <is>
          <t>Wound Care, Lab Consumables, Syringes &amp; Needles, IV Infusion Sets, Gauze &amp; Bandages, Disinfectants, IV Cannulas, Catheters</t>
        </is>
      </c>
      <c r="G113" t="inlineStr"/>
      <c r="H113" t="inlineStr">
        <is>
          <t>https://www.medzell.net/main-categories-application/therapeutic-devices/</t>
        </is>
      </c>
      <c r="I113" t="inlineStr">
        <is>
          <t>corp@devinemeditech.com</t>
        </is>
      </c>
      <c r="L113" t="inlineStr">
        <is>
          <t>Stated</t>
        </is>
      </c>
      <c r="M113" t="inlineStr"/>
      <c r="N113" t="inlineStr">
        <is>
          <t>TUV</t>
        </is>
      </c>
      <c r="O113" t="inlineStr">
        <is>
          <t>https://www.medzell.net/company/devine-meditech/</t>
        </is>
      </c>
      <c r="Q113" t="n">
        <v>10</v>
      </c>
      <c r="R113">
        <f>IF(Q113="","",IF(Q113&gt;=60,"HIGH",IF(Q113&gt;=30,"MEDIUM","LOW")))</f>
        <v/>
      </c>
      <c r="S113" t="inlineStr">
        <is>
          <t>New</t>
        </is>
      </c>
      <c r="T113" t="inlineStr">
        <is>
          <t>2026-03-05</t>
        </is>
      </c>
      <c r="U113" t="inlineStr">
        <is>
          <t>Seed=Medzell; Seed-file: output/medzell_company_urls.txt</t>
        </is>
      </c>
    </row>
    <row r="114">
      <c r="A114" t="n">
        <v>113</v>
      </c>
      <c r="B114" t="inlineStr">
        <is>
          <t>Superior Radiation Protection Devices  - Lead Aprons &amp; DR Protection Stands</t>
        </is>
      </c>
      <c r="C114" t="inlineStr"/>
      <c r="D114" t="inlineStr">
        <is>
          <t>Manufacturer</t>
        </is>
      </c>
      <c r="E114" t="inlineStr">
        <is>
          <t>PPE</t>
        </is>
      </c>
      <c r="F114" t="inlineStr">
        <is>
          <t>Wound Care, Lab Consumables, Syringes &amp; Needles, IV Infusion Sets, Gauze &amp; Bandages, Disinfectants, IV Cannulas, Catheters</t>
        </is>
      </c>
      <c r="G114" t="inlineStr"/>
      <c r="H114" t="inlineStr">
        <is>
          <t>https://www.medzell.net/main-categories-application/therapeutic-devices/</t>
        </is>
      </c>
      <c r="I114" t="inlineStr">
        <is>
          <t>info@dhaalindia.com</t>
        </is>
      </c>
      <c r="L114" t="inlineStr">
        <is>
          <t>Stated</t>
        </is>
      </c>
      <c r="M114" t="inlineStr"/>
      <c r="N114" t="inlineStr">
        <is>
          <t>TUV</t>
        </is>
      </c>
      <c r="O114" t="inlineStr">
        <is>
          <t>https://www.medzell.net/company/dhaal-healthcare/</t>
        </is>
      </c>
      <c r="Q114" t="n">
        <v>10</v>
      </c>
      <c r="R114">
        <f>IF(Q114="","",IF(Q114&gt;=60,"HIGH",IF(Q114&gt;=30,"MEDIUM","LOW")))</f>
        <v/>
      </c>
      <c r="S114" t="inlineStr">
        <is>
          <t>New</t>
        </is>
      </c>
      <c r="T114" t="inlineStr">
        <is>
          <t>2026-03-05</t>
        </is>
      </c>
      <c r="U114" t="inlineStr">
        <is>
          <t>Seed=Medzell; Seed-file: output/medzell_company_urls.txt</t>
        </is>
      </c>
    </row>
    <row r="115">
      <c r="A115" t="n">
        <v>114</v>
      </c>
      <c r="B115" t="inlineStr">
        <is>
          <t>Advanced Wheelchair Manufacturer - Dhanvantri Biomedical Pvt Ltd, Tamil Nadu</t>
        </is>
      </c>
      <c r="C115" t="inlineStr"/>
      <c r="D115" t="inlineStr">
        <is>
          <t>Manufacturer</t>
        </is>
      </c>
      <c r="E115" t="inlineStr">
        <is>
          <t>PPE</t>
        </is>
      </c>
      <c r="F115" t="inlineStr">
        <is>
          <t>Wound Care, Lab Consumables, Syringes &amp; Needles, IV Infusion Sets, Gauze &amp; Bandages, Disinfectants, IV Cannulas, Catheters</t>
        </is>
      </c>
      <c r="G115" t="inlineStr"/>
      <c r="H115" t="inlineStr">
        <is>
          <t>https://www.medzell.net/main-categories-application/therapeutic-devices/</t>
        </is>
      </c>
      <c r="I115" t="inlineStr">
        <is>
          <t>sruthi@sahayathahealthcare.com</t>
        </is>
      </c>
      <c r="L115" t="inlineStr">
        <is>
          <t>Stated</t>
        </is>
      </c>
      <c r="M115" t="inlineStr"/>
      <c r="N115" t="inlineStr">
        <is>
          <t>TUV</t>
        </is>
      </c>
      <c r="O115" t="inlineStr">
        <is>
          <t>https://www.medzell.net/company/dhanvantri-biomedical-private-limited/</t>
        </is>
      </c>
      <c r="Q115" t="n">
        <v>10</v>
      </c>
      <c r="R115">
        <f>IF(Q115="","",IF(Q115&gt;=60,"HIGH",IF(Q115&gt;=30,"MEDIUM","LOW")))</f>
        <v/>
      </c>
      <c r="S115" t="inlineStr">
        <is>
          <t>New</t>
        </is>
      </c>
      <c r="T115" t="inlineStr">
        <is>
          <t>2026-03-05</t>
        </is>
      </c>
      <c r="U115" t="inlineStr">
        <is>
          <t>Seed=Medzell; Seed-file: output/medzell_company_urls.txt</t>
        </is>
      </c>
    </row>
    <row r="116">
      <c r="A116" t="n">
        <v>115</v>
      </c>
      <c r="B116" t="inlineStr">
        <is>
          <t>Top-Quality Medical Disposable Products | Dhwanit Enterprise</t>
        </is>
      </c>
      <c r="C116" t="inlineStr"/>
      <c r="D116" t="inlineStr">
        <is>
          <t>Manufacturer</t>
        </is>
      </c>
      <c r="E116" t="inlineStr">
        <is>
          <t>PPE</t>
        </is>
      </c>
      <c r="F116" t="inlineStr">
        <is>
          <t>Wound Care, Lab Consumables, Syringes &amp; Needles, IV Infusion Sets, Catheters, Gauze &amp; Bandages, Disinfectants, IV Cannulas</t>
        </is>
      </c>
      <c r="G116" t="inlineStr"/>
      <c r="H116" t="inlineStr">
        <is>
          <t>https://www.medzell.net/main-categories-application/therapeutic-devices/</t>
        </is>
      </c>
      <c r="I116" t="inlineStr">
        <is>
          <t>salesdhwanitent@gmail.com</t>
        </is>
      </c>
      <c r="L116" t="inlineStr">
        <is>
          <t>Stated</t>
        </is>
      </c>
      <c r="M116" t="inlineStr"/>
      <c r="N116" t="inlineStr">
        <is>
          <t>BV, TUV</t>
        </is>
      </c>
      <c r="O116" t="inlineStr">
        <is>
          <t>https://www.medzell.net/company/dhwanit-enterprise/</t>
        </is>
      </c>
      <c r="Q116" t="n">
        <v>30</v>
      </c>
      <c r="R116">
        <f>IF(Q116="","",IF(Q116&gt;=60,"HIGH",IF(Q116&gt;=30,"MEDIUM","LOW")))</f>
        <v/>
      </c>
      <c r="S116" t="inlineStr">
        <is>
          <t>New</t>
        </is>
      </c>
      <c r="T116" t="inlineStr">
        <is>
          <t>2026-03-05</t>
        </is>
      </c>
      <c r="U116" t="inlineStr">
        <is>
          <t>Seed=Medzell; Seed-file: output/medzell_company_urls.txt</t>
        </is>
      </c>
    </row>
    <row r="117">
      <c r="A117" t="n">
        <v>116</v>
      </c>
      <c r="B117" t="inlineStr">
        <is>
          <t>Leaders in Diabetic Foot Care &amp; Neuropathy Equipment</t>
        </is>
      </c>
      <c r="C117" t="inlineStr"/>
      <c r="D117" t="inlineStr">
        <is>
          <t>Manufacturer</t>
        </is>
      </c>
      <c r="E117" t="inlineStr">
        <is>
          <t>PPE</t>
        </is>
      </c>
      <c r="F117" t="inlineStr">
        <is>
          <t>Wound Care, Lab Consumables, Syringes &amp; Needles, IV Infusion Sets, Gauze &amp; Bandages, Disinfectants, IV Cannulas, Catheters</t>
        </is>
      </c>
      <c r="G117" t="inlineStr"/>
      <c r="H117" t="inlineStr">
        <is>
          <t>https://www.medzell.net/main-categories-application/therapeutic-devices/</t>
        </is>
      </c>
      <c r="I117" t="inlineStr">
        <is>
          <t>mesmedi@gmail.com</t>
        </is>
      </c>
      <c r="L117" t="inlineStr">
        <is>
          <t>Stated</t>
        </is>
      </c>
      <c r="M117" t="inlineStr"/>
      <c r="N117" t="inlineStr">
        <is>
          <t>TUV</t>
        </is>
      </c>
      <c r="O117" t="inlineStr">
        <is>
          <t>https://www.medzell.net/company/diabetik-foot-care-india-pvt-ltd/</t>
        </is>
      </c>
      <c r="Q117" t="n">
        <v>30</v>
      </c>
      <c r="R117">
        <f>IF(Q117="","",IF(Q117&gt;=60,"HIGH",IF(Q117&gt;=30,"MEDIUM","LOW")))</f>
        <v/>
      </c>
      <c r="S117" t="inlineStr">
        <is>
          <t>New</t>
        </is>
      </c>
      <c r="T117" t="inlineStr">
        <is>
          <t>2026-03-05</t>
        </is>
      </c>
      <c r="U117" t="inlineStr">
        <is>
          <t>Seed=Medzell; Seed-file: output/medzell_company_urls.txt</t>
        </is>
      </c>
    </row>
    <row r="118">
      <c r="A118" t="n">
        <v>117</v>
      </c>
      <c r="B118" t="inlineStr">
        <is>
          <t>Diamond Hospital Equipments – Advanced Surgical OT Tables, Lights &amp; Medical Devices Manufacturer</t>
        </is>
      </c>
      <c r="C118" t="inlineStr"/>
      <c r="D118" t="inlineStr">
        <is>
          <t>Manufacturer</t>
        </is>
      </c>
      <c r="E118" t="inlineStr">
        <is>
          <t>PPE</t>
        </is>
      </c>
      <c r="F118" t="inlineStr">
        <is>
          <t>Wound Care, Lab Consumables, Syringes &amp; Needles, IV Infusion Sets, Catheters, Gauze &amp; Bandages, Disinfectants, IV Cannulas</t>
        </is>
      </c>
      <c r="G118" t="inlineStr"/>
      <c r="H118" t="inlineStr">
        <is>
          <t>https://www.medzell.net/main-categories-application/therapeutic-devices/</t>
        </is>
      </c>
      <c r="I118" t="inlineStr">
        <is>
          <t>info@diamonddelux.com</t>
        </is>
      </c>
      <c r="L118" t="inlineStr">
        <is>
          <t>Stated</t>
        </is>
      </c>
      <c r="M118" t="inlineStr"/>
      <c r="N118" t="inlineStr">
        <is>
          <t>TUV</t>
        </is>
      </c>
      <c r="O118" t="inlineStr">
        <is>
          <t>https://www.medzell.net/company/diamond-hospital-equipments/</t>
        </is>
      </c>
      <c r="Q118" t="n">
        <v>10</v>
      </c>
      <c r="R118">
        <f>IF(Q118="","",IF(Q118&gt;=60,"HIGH",IF(Q118&gt;=30,"MEDIUM","LOW")))</f>
        <v/>
      </c>
      <c r="S118" t="inlineStr">
        <is>
          <t>New</t>
        </is>
      </c>
      <c r="T118" t="inlineStr">
        <is>
          <t>2026-03-05</t>
        </is>
      </c>
      <c r="U118" t="inlineStr">
        <is>
          <t>Seed=Medzell; Seed-file: output/medzell_company_urls.txt</t>
        </is>
      </c>
    </row>
    <row r="119">
      <c r="A119" t="n">
        <v>118</v>
      </c>
      <c r="B119" t="inlineStr">
        <is>
          <t>Disposafe Health and Life Care Ltd. - Premier Manufacturer and Exporter of Medical Consumables in India</t>
        </is>
      </c>
      <c r="C119" t="inlineStr"/>
      <c r="D119" t="inlineStr">
        <is>
          <t>Manufacturer</t>
        </is>
      </c>
      <c r="E119" t="inlineStr">
        <is>
          <t>PPE</t>
        </is>
      </c>
      <c r="F119" t="inlineStr">
        <is>
          <t>Wound Care, Syringes &amp; Needles, Catheters, Lab Consumables, IV Infusion Sets, Gauze &amp; Bandages, Disinfectants, IV Cannulas</t>
        </is>
      </c>
      <c r="G119" t="inlineStr"/>
      <c r="H119" t="inlineStr">
        <is>
          <t>https://www.medzell.net/main-categories-application/therapeutic-devices/</t>
        </is>
      </c>
      <c r="I119" t="inlineStr">
        <is>
          <t>gm.intmkt@disposafe.com</t>
        </is>
      </c>
      <c r="L119" t="inlineStr">
        <is>
          <t>Stated</t>
        </is>
      </c>
      <c r="M119" t="inlineStr"/>
      <c r="N119" t="inlineStr">
        <is>
          <t>FDA, GMP, TUV</t>
        </is>
      </c>
      <c r="O119" t="inlineStr">
        <is>
          <t>https://www.medzell.net/company/disposafe-health-lifecare-limited/</t>
        </is>
      </c>
      <c r="Q119" t="n">
        <v>10</v>
      </c>
      <c r="R119">
        <f>IF(Q119="","",IF(Q119&gt;=60,"HIGH",IF(Q119&gt;=30,"MEDIUM","LOW")))</f>
        <v/>
      </c>
      <c r="S119" t="inlineStr">
        <is>
          <t>New</t>
        </is>
      </c>
      <c r="T119" t="inlineStr">
        <is>
          <t>2026-03-05</t>
        </is>
      </c>
      <c r="U119" t="inlineStr">
        <is>
          <t>Seed=Medzell; Seed-file: output/medzell_company_urls.txt</t>
        </is>
      </c>
    </row>
    <row r="120">
      <c r="A120" t="n">
        <v>119</v>
      </c>
      <c r="B120" t="inlineStr">
        <is>
          <t>Premium Disposable Medical Products | Dispowear Sterite Company - Delhi</t>
        </is>
      </c>
      <c r="C120" t="inlineStr"/>
      <c r="D120" t="inlineStr">
        <is>
          <t>Manufacturer</t>
        </is>
      </c>
      <c r="E120" t="inlineStr">
        <is>
          <t>PPE</t>
        </is>
      </c>
      <c r="F120" t="inlineStr">
        <is>
          <t>Wound Care, Lab Consumables, Syringes &amp; Needles, IV Infusion Sets, Gauze &amp; Bandages, Disinfectants, IV Cannulas, Catheters</t>
        </is>
      </c>
      <c r="G120" t="inlineStr"/>
      <c r="H120" t="inlineStr">
        <is>
          <t>https://www.medzell.net/main-categories-application/therapeutic-devices/</t>
        </is>
      </c>
      <c r="I120" t="inlineStr">
        <is>
          <t>sales@dispowear.co.in</t>
        </is>
      </c>
      <c r="L120" t="inlineStr"/>
      <c r="M120" t="inlineStr"/>
      <c r="N120" t="inlineStr">
        <is>
          <t>TUV</t>
        </is>
      </c>
      <c r="O120" t="inlineStr">
        <is>
          <t>https://www.medzell.net/company/dispowear-sterite-company/</t>
        </is>
      </c>
      <c r="Q120" t="n">
        <v>25</v>
      </c>
      <c r="R120">
        <f>IF(Q120="","",IF(Q120&gt;=60,"HIGH",IF(Q120&gt;=30,"MEDIUM","LOW")))</f>
        <v/>
      </c>
      <c r="S120" t="inlineStr">
        <is>
          <t>New</t>
        </is>
      </c>
      <c r="T120" t="inlineStr">
        <is>
          <t>2026-03-05</t>
        </is>
      </c>
      <c r="U120" t="inlineStr">
        <is>
          <t>Seed=Medzell; Seed-file: output/medzell_company_urls.txt</t>
        </is>
      </c>
    </row>
    <row r="121">
      <c r="A121" t="n">
        <v>120</v>
      </c>
      <c r="B121" t="inlineStr">
        <is>
          <t>Cutting-Edge Medical Devices for Endoscopy, Laparoscopy &amp; More</t>
        </is>
      </c>
      <c r="C121" t="inlineStr"/>
      <c r="D121" t="inlineStr">
        <is>
          <t>Manufacturer</t>
        </is>
      </c>
      <c r="E121" t="inlineStr">
        <is>
          <t>PPE</t>
        </is>
      </c>
      <c r="F121" t="inlineStr">
        <is>
          <t>Wound Care, Lab Consumables, Syringes &amp; Needles, IV Infusion Sets, Catheters, Gauze &amp; Bandages, Disinfectants, IV Cannulas</t>
        </is>
      </c>
      <c r="G121" t="inlineStr"/>
      <c r="H121" t="inlineStr">
        <is>
          <t>https://www.medzell.net/main-categories-application/therapeutic-devices/</t>
        </is>
      </c>
      <c r="I121" t="inlineStr">
        <is>
          <t>marketing@divinemeditech.in</t>
        </is>
      </c>
      <c r="L121" t="inlineStr">
        <is>
          <t>Stated</t>
        </is>
      </c>
      <c r="M121" t="inlineStr"/>
      <c r="N121" t="inlineStr">
        <is>
          <t>TUV</t>
        </is>
      </c>
      <c r="O121" t="inlineStr">
        <is>
          <t>https://www.medzell.net/company/divine-meditech-private-limited/</t>
        </is>
      </c>
      <c r="Q121" t="n">
        <v>10</v>
      </c>
      <c r="R121">
        <f>IF(Q121="","",IF(Q121&gt;=60,"HIGH",IF(Q121&gt;=30,"MEDIUM","LOW")))</f>
        <v/>
      </c>
      <c r="S121" t="inlineStr">
        <is>
          <t>New</t>
        </is>
      </c>
      <c r="T121" t="inlineStr">
        <is>
          <t>2026-03-05</t>
        </is>
      </c>
      <c r="U121" t="inlineStr">
        <is>
          <t>Seed=Medzell; Seed-file: output/medzell_company_urls.txt</t>
        </is>
      </c>
    </row>
    <row r="122">
      <c r="A122" t="n">
        <v>121</v>
      </c>
      <c r="B122" t="inlineStr">
        <is>
          <t>Trusted Manufacturer of Therapeutic and Diagnostic Equipment - Doctroid India Pvt. Ltd.</t>
        </is>
      </c>
      <c r="C122" t="inlineStr"/>
      <c r="D122" t="inlineStr">
        <is>
          <t>Manufacturer</t>
        </is>
      </c>
      <c r="E122" t="inlineStr">
        <is>
          <t>PPE</t>
        </is>
      </c>
      <c r="F122" t="inlineStr">
        <is>
          <t>Wound Care, Lab Consumables, Syringes &amp; Needles, IV Infusion Sets, Gauze &amp; Bandages, Disinfectants, IV Cannulas, Catheters</t>
        </is>
      </c>
      <c r="G122" t="inlineStr"/>
      <c r="H122" t="inlineStr">
        <is>
          <t>https://www.medzell.net/main-categories-application/therapeutic-devices/</t>
        </is>
      </c>
      <c r="I122" t="inlineStr">
        <is>
          <t>salesdoctroid@gmail.com</t>
        </is>
      </c>
      <c r="L122" t="inlineStr">
        <is>
          <t>Stated</t>
        </is>
      </c>
      <c r="M122" t="inlineStr"/>
      <c r="N122" t="inlineStr">
        <is>
          <t>TUV</t>
        </is>
      </c>
      <c r="O122" t="inlineStr">
        <is>
          <t>https://www.medzell.net/company/doctroid-india-pvt-ltd/</t>
        </is>
      </c>
      <c r="Q122" t="n">
        <v>30</v>
      </c>
      <c r="R122">
        <f>IF(Q122="","",IF(Q122&gt;=60,"HIGH",IF(Q122&gt;=30,"MEDIUM","LOW")))</f>
        <v/>
      </c>
      <c r="S122" t="inlineStr">
        <is>
          <t>New</t>
        </is>
      </c>
      <c r="T122" t="inlineStr">
        <is>
          <t>2026-03-05</t>
        </is>
      </c>
      <c r="U122" t="inlineStr">
        <is>
          <t>Seed=Medzell; Seed-file: output/medzell_company_urls.txt</t>
        </is>
      </c>
    </row>
    <row r="123">
      <c r="A123" t="n">
        <v>122</v>
      </c>
      <c r="B123" t="inlineStr">
        <is>
          <t>Top Manufacturer of High-Quality Disposables | Dr. AM's Healthcare</t>
        </is>
      </c>
      <c r="C123" t="inlineStr"/>
      <c r="D123" t="inlineStr">
        <is>
          <t>Manufacturer</t>
        </is>
      </c>
      <c r="E123" t="inlineStr">
        <is>
          <t>PPE</t>
        </is>
      </c>
      <c r="F123" t="inlineStr">
        <is>
          <t>Wound Care, IV Infusion Sets, Syringes &amp; Needles, Catheters, Gauze &amp; Bandages, Lab Consumables, IV Cannulas, Gloves, Disinfectants</t>
        </is>
      </c>
      <c r="G123" t="inlineStr"/>
      <c r="H123" t="inlineStr">
        <is>
          <t>https://www.medzell.net/main-categories-application/therapeutic-devices/</t>
        </is>
      </c>
      <c r="I123" t="inlineStr">
        <is>
          <t>dramshealthcare2@gmail.com</t>
        </is>
      </c>
      <c r="L123" t="inlineStr">
        <is>
          <t>Stated</t>
        </is>
      </c>
      <c r="M123" t="inlineStr"/>
      <c r="N123" t="inlineStr">
        <is>
          <t>TUV</t>
        </is>
      </c>
      <c r="O123" t="inlineStr">
        <is>
          <t>https://www.medzell.net/company/dr-ams-healthcare/</t>
        </is>
      </c>
      <c r="Q123" t="n">
        <v>30</v>
      </c>
      <c r="R123">
        <f>IF(Q123="","",IF(Q123&gt;=60,"HIGH",IF(Q123&gt;=30,"MEDIUM","LOW")))</f>
        <v/>
      </c>
      <c r="S123" t="inlineStr">
        <is>
          <t>New</t>
        </is>
      </c>
      <c r="T123" t="inlineStr">
        <is>
          <t>2026-03-05</t>
        </is>
      </c>
      <c r="U123" t="inlineStr">
        <is>
          <t>Seed=Medzell; Seed-file: output/medzell_company_urls.txt</t>
        </is>
      </c>
    </row>
    <row r="124">
      <c r="A124" t="n">
        <v>123</v>
      </c>
      <c r="B124" t="inlineStr">
        <is>
          <t>Dynamic International: High-Quality Medical Equipment Manufacturer &amp; Supplier in India</t>
        </is>
      </c>
      <c r="C124" t="inlineStr"/>
      <c r="D124" t="inlineStr">
        <is>
          <t>Manufacturer</t>
        </is>
      </c>
      <c r="E124" t="inlineStr">
        <is>
          <t>PPE</t>
        </is>
      </c>
      <c r="F124" t="inlineStr">
        <is>
          <t>Wound Care, Lab Consumables, Syringes &amp; Needles, IV Infusion Sets, Gauze &amp; Bandages, Disinfectants, IV Cannulas, Catheters</t>
        </is>
      </c>
      <c r="G124" t="inlineStr"/>
      <c r="H124" t="inlineStr">
        <is>
          <t>https://www.medzell.net/main-categories-application/therapeutic-devices/</t>
        </is>
      </c>
      <c r="I124" t="inlineStr">
        <is>
          <t>info@dynamicsurgical.in</t>
        </is>
      </c>
      <c r="L124" t="inlineStr">
        <is>
          <t>Stated</t>
        </is>
      </c>
      <c r="M124" t="inlineStr"/>
      <c r="N124" t="inlineStr">
        <is>
          <t>GMP, TUV</t>
        </is>
      </c>
      <c r="O124" t="inlineStr">
        <is>
          <t>https://www.medzell.net/company/dynamic-international/</t>
        </is>
      </c>
      <c r="Q124" t="n">
        <v>10</v>
      </c>
      <c r="R124">
        <f>IF(Q124="","",IF(Q124&gt;=60,"HIGH",IF(Q124&gt;=30,"MEDIUM","LOW")))</f>
        <v/>
      </c>
      <c r="S124" t="inlineStr">
        <is>
          <t>New</t>
        </is>
      </c>
      <c r="T124" t="inlineStr">
        <is>
          <t>2026-03-05</t>
        </is>
      </c>
      <c r="U124" t="inlineStr">
        <is>
          <t>Seed=Medzell; Seed-file: output/medzell_company_urls.txt</t>
        </is>
      </c>
    </row>
    <row r="125">
      <c r="A125" t="n">
        <v>124</v>
      </c>
      <c r="B125" t="inlineStr">
        <is>
          <t>Earways Medical: Leading Manufacturer of Ear Wax Removal Solutions</t>
        </is>
      </c>
      <c r="C125" t="inlineStr"/>
      <c r="D125" t="inlineStr">
        <is>
          <t>Manufacturer</t>
        </is>
      </c>
      <c r="E125" t="inlineStr">
        <is>
          <t>PPE</t>
        </is>
      </c>
      <c r="F125" t="inlineStr">
        <is>
          <t>Wound Care, Lab Consumables, Syringes &amp; Needles, IV Infusion Sets, Gauze &amp; Bandages, Disinfectants, IV Cannulas, Catheters</t>
        </is>
      </c>
      <c r="G125" t="inlineStr"/>
      <c r="H125" t="inlineStr">
        <is>
          <t>https://www.medzell.net/main-categories-application/therapeutic-devices/</t>
        </is>
      </c>
      <c r="I125" t="inlineStr">
        <is>
          <t>amitshiloh@gmail.com</t>
        </is>
      </c>
      <c r="L125" t="inlineStr">
        <is>
          <t>Stated</t>
        </is>
      </c>
      <c r="M125" t="inlineStr"/>
      <c r="N125" t="inlineStr">
        <is>
          <t>TUV</t>
        </is>
      </c>
      <c r="O125" t="inlineStr">
        <is>
          <t>https://www.medzell.net/company/earways-medical/</t>
        </is>
      </c>
      <c r="Q125" t="n">
        <v>30</v>
      </c>
      <c r="R125">
        <f>IF(Q125="","",IF(Q125&gt;=60,"HIGH",IF(Q125&gt;=30,"MEDIUM","LOW")))</f>
        <v/>
      </c>
      <c r="S125" t="inlineStr">
        <is>
          <t>New</t>
        </is>
      </c>
      <c r="T125" t="inlineStr">
        <is>
          <t>2026-03-05</t>
        </is>
      </c>
      <c r="U125" t="inlineStr">
        <is>
          <t>Seed=Medzell; Seed-file: output/medzell_company_urls.txt</t>
        </is>
      </c>
    </row>
    <row r="126">
      <c r="A126" t="n">
        <v>125</v>
      </c>
      <c r="B126" t="inlineStr">
        <is>
          <t>Easemed: Innovating Electrosurgical Equipment with Precision and Patient Safety</t>
        </is>
      </c>
      <c r="C126" t="inlineStr"/>
      <c r="D126" t="inlineStr">
        <is>
          <t>Manufacturer</t>
        </is>
      </c>
      <c r="E126" t="inlineStr">
        <is>
          <t>PPE</t>
        </is>
      </c>
      <c r="F126" t="inlineStr">
        <is>
          <t>Wound Care, Lab Consumables, Syringes &amp; Needles, IV Infusion Sets, Gauze &amp; Bandages, Disinfectants, IV Cannulas, Catheters</t>
        </is>
      </c>
      <c r="G126" t="inlineStr"/>
      <c r="H126" t="inlineStr">
        <is>
          <t>https://www.medzell.net/main-categories-application/therapeutic-devices/</t>
        </is>
      </c>
      <c r="I126" t="inlineStr">
        <is>
          <t>Info@easemed.net</t>
        </is>
      </c>
      <c r="L126" t="inlineStr">
        <is>
          <t>Stated</t>
        </is>
      </c>
      <c r="M126" t="inlineStr"/>
      <c r="N126" t="inlineStr">
        <is>
          <t>TUV</t>
        </is>
      </c>
      <c r="O126" t="inlineStr">
        <is>
          <t>https://www.medzell.net/company/easemed-electrosurgical-pvt-ltd/</t>
        </is>
      </c>
      <c r="Q126" t="n">
        <v>10</v>
      </c>
      <c r="R126">
        <f>IF(Q126="","",IF(Q126&gt;=60,"HIGH",IF(Q126&gt;=30,"MEDIUM","LOW")))</f>
        <v/>
      </c>
      <c r="S126" t="inlineStr">
        <is>
          <t>New</t>
        </is>
      </c>
      <c r="T126" t="inlineStr">
        <is>
          <t>2026-03-05</t>
        </is>
      </c>
      <c r="U126" t="inlineStr">
        <is>
          <t>Seed=Medzell; Seed-file: output/medzell_company_urls.txt</t>
        </is>
      </c>
    </row>
    <row r="127">
      <c r="A127" t="n">
        <v>126</v>
      </c>
      <c r="B127" t="inlineStr">
        <is>
          <t>Electric Wheelchairs | EasyLife Mobility Innovations Pvt Ltd.</t>
        </is>
      </c>
      <c r="C127" t="inlineStr"/>
      <c r="D127" t="inlineStr">
        <is>
          <t>Manufacturer</t>
        </is>
      </c>
      <c r="E127" t="inlineStr">
        <is>
          <t>PPE</t>
        </is>
      </c>
      <c r="F127" t="inlineStr">
        <is>
          <t>Wound Care, Lab Consumables, Syringes &amp; Needles, IV Infusion Sets, Gauze &amp; Bandages, Disinfectants, IV Cannulas, Catheters</t>
        </is>
      </c>
      <c r="G127" t="inlineStr"/>
      <c r="H127" t="inlineStr">
        <is>
          <t>https://www.medzell.net/main-categories-application/therapeutic-devices/</t>
        </is>
      </c>
      <c r="I127" t="inlineStr">
        <is>
          <t>jinnendra.lakkimsetti@easylifewheelchairs.com</t>
        </is>
      </c>
      <c r="L127" t="inlineStr"/>
      <c r="M127" t="inlineStr"/>
      <c r="N127" t="inlineStr">
        <is>
          <t>TUV</t>
        </is>
      </c>
      <c r="O127" t="inlineStr">
        <is>
          <t>https://www.medzell.net/company/easylife-mobility-innovations-private-limited/</t>
        </is>
      </c>
      <c r="Q127" t="n">
        <v>25</v>
      </c>
      <c r="R127">
        <f>IF(Q127="","",IF(Q127&gt;=60,"HIGH",IF(Q127&gt;=30,"MEDIUM","LOW")))</f>
        <v/>
      </c>
      <c r="S127" t="inlineStr">
        <is>
          <t>New</t>
        </is>
      </c>
      <c r="T127" t="inlineStr">
        <is>
          <t>2026-03-05</t>
        </is>
      </c>
      <c r="U127" t="inlineStr">
        <is>
          <t>Seed=Medzell; Seed-file: output/medzell_company_urls.txt</t>
        </is>
      </c>
    </row>
    <row r="128">
      <c r="A128" t="n">
        <v>127</v>
      </c>
      <c r="B128" t="inlineStr">
        <is>
          <t>Edges Medicare Pvt. Ltd.: High-Quality Medical Supplies &amp; Consumables for Nephrology, Critical Care, and Cardiology</t>
        </is>
      </c>
      <c r="C128" t="inlineStr"/>
      <c r="D128" t="inlineStr">
        <is>
          <t>Manufacturer</t>
        </is>
      </c>
      <c r="E128" t="inlineStr">
        <is>
          <t>PPE</t>
        </is>
      </c>
      <c r="F128" t="inlineStr">
        <is>
          <t>Wound Care, Lab Consumables, Syringes &amp; Needles, IV Infusion Sets, Gauze &amp; Bandages, Disinfectants, IV Cannulas, Catheters</t>
        </is>
      </c>
      <c r="G128" t="inlineStr"/>
      <c r="H128" t="inlineStr">
        <is>
          <t>https://www.medzell.net/main-categories-application/therapeutic-devices/</t>
        </is>
      </c>
      <c r="I128" t="inlineStr">
        <is>
          <t>support@edgesmedicare.com</t>
        </is>
      </c>
      <c r="L128" t="inlineStr">
        <is>
          <t>Stated</t>
        </is>
      </c>
      <c r="M128" t="inlineStr"/>
      <c r="N128" t="inlineStr">
        <is>
          <t>TUV</t>
        </is>
      </c>
      <c r="O128" t="inlineStr">
        <is>
          <t>https://www.medzell.net/company/edges-medicare-pvt-ltd/</t>
        </is>
      </c>
      <c r="Q128" t="n">
        <v>10</v>
      </c>
      <c r="R128">
        <f>IF(Q128="","",IF(Q128&gt;=60,"HIGH",IF(Q128&gt;=30,"MEDIUM","LOW")))</f>
        <v/>
      </c>
      <c r="S128" t="inlineStr">
        <is>
          <t>New</t>
        </is>
      </c>
      <c r="T128" t="inlineStr">
        <is>
          <t>2026-03-05</t>
        </is>
      </c>
      <c r="U128" t="inlineStr">
        <is>
          <t>Seed=Medzell; Seed-file: output/medzell_company_urls.txt</t>
        </is>
      </c>
    </row>
    <row r="129">
      <c r="A129" t="n">
        <v>128</v>
      </c>
      <c r="B129" t="inlineStr">
        <is>
          <t>Edusoft Healthcare – Leading Innovator in Digital Radiography &amp; Medical Imaging Solutions</t>
        </is>
      </c>
      <c r="C129" t="inlineStr"/>
      <c r="D129" t="inlineStr">
        <is>
          <t>Manufacturer</t>
        </is>
      </c>
      <c r="E129" t="inlineStr">
        <is>
          <t>PPE</t>
        </is>
      </c>
      <c r="F129" t="inlineStr">
        <is>
          <t>Wound Care, Lab Consumables, Syringes &amp; Needles, IV Infusion Sets, Gauze &amp; Bandages, Disinfectants, IV Cannulas, Catheters</t>
        </is>
      </c>
      <c r="G129" t="inlineStr"/>
      <c r="H129" t="inlineStr">
        <is>
          <t>https://www.medzell.net/main-categories-application/therapeutic-devices/</t>
        </is>
      </c>
      <c r="I129" t="inlineStr">
        <is>
          <t>edusoftregulatory@gmail.com</t>
        </is>
      </c>
      <c r="L129" t="inlineStr">
        <is>
          <t>Stated</t>
        </is>
      </c>
      <c r="M129" t="inlineStr"/>
      <c r="N129" t="inlineStr">
        <is>
          <t>TUV</t>
        </is>
      </c>
      <c r="O129" t="inlineStr">
        <is>
          <t>https://www.medzell.net/company/edusoft-healthcare-pvt-ltd/</t>
        </is>
      </c>
      <c r="Q129" t="n">
        <v>30</v>
      </c>
      <c r="R129">
        <f>IF(Q129="","",IF(Q129&gt;=60,"HIGH",IF(Q129&gt;=30,"MEDIUM","LOW")))</f>
        <v/>
      </c>
      <c r="S129" t="inlineStr">
        <is>
          <t>New</t>
        </is>
      </c>
      <c r="T129" t="inlineStr">
        <is>
          <t>2026-03-05</t>
        </is>
      </c>
      <c r="U129" t="inlineStr">
        <is>
          <t>Seed=Medzell; Seed-file: output/medzell_company_urls.txt</t>
        </is>
      </c>
    </row>
    <row r="130">
      <c r="A130" t="n">
        <v>129</v>
      </c>
      <c r="B130" t="inlineStr">
        <is>
          <t>Eightwe Digital Transformations Pvt. Ltd.</t>
        </is>
      </c>
      <c r="C130" t="inlineStr"/>
      <c r="D130" t="inlineStr">
        <is>
          <t>Manufacturer</t>
        </is>
      </c>
      <c r="E130" t="inlineStr">
        <is>
          <t>PPE</t>
        </is>
      </c>
      <c r="F130" t="inlineStr">
        <is>
          <t>Wound Care, Lab Consumables, Syringes &amp; Needles, IV Infusion Sets, Gauze &amp; Bandages, Disinfectants, IV Cannulas, Catheters</t>
        </is>
      </c>
      <c r="G130" t="inlineStr"/>
      <c r="H130" t="inlineStr">
        <is>
          <t>https://www.medzell.net/main-categories-application/therapeutic-devices/</t>
        </is>
      </c>
      <c r="I130" t="inlineStr">
        <is>
          <t>test_manufacturer@medzell.net</t>
        </is>
      </c>
      <c r="L130" t="inlineStr"/>
      <c r="M130" t="inlineStr"/>
      <c r="N130" t="inlineStr">
        <is>
          <t>TUV</t>
        </is>
      </c>
      <c r="O130" t="inlineStr">
        <is>
          <t>https://www.medzell.net/company/eightwe-digital-transformations-pvt-ltd/</t>
        </is>
      </c>
      <c r="Q130" t="n">
        <v>25</v>
      </c>
      <c r="R130">
        <f>IF(Q130="","",IF(Q130&gt;=60,"HIGH",IF(Q130&gt;=30,"MEDIUM","LOW")))</f>
        <v/>
      </c>
      <c r="S130" t="inlineStr">
        <is>
          <t>New</t>
        </is>
      </c>
      <c r="T130" t="inlineStr">
        <is>
          <t>2026-03-05</t>
        </is>
      </c>
      <c r="U130" t="inlineStr">
        <is>
          <t>Seed=Medzell; Seed-file: output/medzell_company_urls.txt</t>
        </is>
      </c>
    </row>
    <row r="131">
      <c r="A131" t="n">
        <v>130</v>
      </c>
      <c r="B131" t="inlineStr">
        <is>
          <t>Quality Dressings &amp; Hygiene Products | Elastikum LLC USA</t>
        </is>
      </c>
      <c r="C131" t="inlineStr"/>
      <c r="D131" t="inlineStr">
        <is>
          <t>Manufacturer</t>
        </is>
      </c>
      <c r="E131" t="inlineStr">
        <is>
          <t>PPE</t>
        </is>
      </c>
      <c r="F131" t="inlineStr">
        <is>
          <t>Wound Care, Lab Consumables, Syringes &amp; Needles, IV Infusion Sets, Gauze &amp; Bandages, Disinfectants, IV Cannulas, Catheters</t>
        </is>
      </c>
      <c r="G131" t="inlineStr"/>
      <c r="H131" t="inlineStr">
        <is>
          <t>https://www.medzell.net/main-categories-application/therapeutic-devices/</t>
        </is>
      </c>
      <c r="I131" t="inlineStr">
        <is>
          <t>uzelastikum@gmail.com</t>
        </is>
      </c>
      <c r="L131" t="inlineStr"/>
      <c r="M131" t="inlineStr"/>
      <c r="N131" t="inlineStr">
        <is>
          <t>TUV</t>
        </is>
      </c>
      <c r="O131" t="inlineStr">
        <is>
          <t>https://www.medzell.net/company/elastikum/</t>
        </is>
      </c>
      <c r="Q131" t="n">
        <v>45</v>
      </c>
      <c r="R131">
        <f>IF(Q131="","",IF(Q131&gt;=60,"HIGH",IF(Q131&gt;=30,"MEDIUM","LOW")))</f>
        <v/>
      </c>
      <c r="S131" t="inlineStr">
        <is>
          <t>New</t>
        </is>
      </c>
      <c r="T131" t="inlineStr">
        <is>
          <t>2026-03-05</t>
        </is>
      </c>
      <c r="U131" t="inlineStr">
        <is>
          <t>Seed=Medzell; Seed-file: output/medzell_company_urls.txt</t>
        </is>
      </c>
    </row>
    <row r="132">
      <c r="A132" t="n">
        <v>131</v>
      </c>
      <c r="B132" t="inlineStr">
        <is>
          <t>Breath.ei and AirOxy Flow: Cutting-Edge Neonatal CPAP Solutions by EIPL</t>
        </is>
      </c>
      <c r="C132" t="inlineStr"/>
      <c r="D132" t="inlineStr">
        <is>
          <t>Manufacturer</t>
        </is>
      </c>
      <c r="E132" t="inlineStr">
        <is>
          <t>PPE</t>
        </is>
      </c>
      <c r="F132" t="inlineStr">
        <is>
          <t>Wound Care, Lab Consumables, Syringes &amp; Needles, IV Infusion Sets, Gauze &amp; Bandages, Disinfectants, IV Cannulas, Catheters</t>
        </is>
      </c>
      <c r="G132" t="inlineStr"/>
      <c r="H132" t="inlineStr">
        <is>
          <t>https://www.medzell.net/main-categories-application/therapeutic-devices/</t>
        </is>
      </c>
      <c r="I132" t="inlineStr">
        <is>
          <t>electrogenics.innovations@gmail.com</t>
        </is>
      </c>
      <c r="L132" t="inlineStr">
        <is>
          <t>Stated</t>
        </is>
      </c>
      <c r="M132" t="inlineStr"/>
      <c r="N132" t="inlineStr">
        <is>
          <t>TUV</t>
        </is>
      </c>
      <c r="O132" t="inlineStr">
        <is>
          <t>https://www.medzell.net/company/electrogenics-innovations-pvt-ltd/</t>
        </is>
      </c>
      <c r="Q132" t="n">
        <v>30</v>
      </c>
      <c r="R132">
        <f>IF(Q132="","",IF(Q132&gt;=60,"HIGH",IF(Q132&gt;=30,"MEDIUM","LOW")))</f>
        <v/>
      </c>
      <c r="S132" t="inlineStr">
        <is>
          <t>New</t>
        </is>
      </c>
      <c r="T132" t="inlineStr">
        <is>
          <t>2026-03-05</t>
        </is>
      </c>
      <c r="U132" t="inlineStr">
        <is>
          <t>Seed=Medzell; Seed-file: output/medzell_company_urls.txt</t>
        </is>
      </c>
    </row>
    <row r="133">
      <c r="A133" t="n">
        <v>132</v>
      </c>
      <c r="B133" t="inlineStr">
        <is>
          <t>Electrotherm Solar Limited: Pioneering Excellence in Medical Device Manufacturing for Electra Healthcare</t>
        </is>
      </c>
      <c r="C133" t="inlineStr"/>
      <c r="D133" t="inlineStr">
        <is>
          <t>Manufacturer</t>
        </is>
      </c>
      <c r="E133" t="inlineStr">
        <is>
          <t>PPE</t>
        </is>
      </c>
      <c r="F133" t="inlineStr">
        <is>
          <t>Wound Care, Lab Consumables, Syringes &amp; Needles, IV Infusion Sets, Gauze &amp; Bandages, Disinfectants, IV Cannulas, Catheters</t>
        </is>
      </c>
      <c r="G133" t="inlineStr"/>
      <c r="H133" t="inlineStr">
        <is>
          <t>https://www.medzell.net/main-categories-application/therapeutic-devices/</t>
        </is>
      </c>
      <c r="I133" t="inlineStr">
        <is>
          <t>sales@eslelectra.com</t>
        </is>
      </c>
      <c r="L133" t="inlineStr">
        <is>
          <t>Stated</t>
        </is>
      </c>
      <c r="M133" t="inlineStr"/>
      <c r="N133" t="inlineStr">
        <is>
          <t>TUV</t>
        </is>
      </c>
      <c r="O133" t="inlineStr">
        <is>
          <t>https://www.medzell.net/company/electrotherm-solar-limited-electra-healthcare/</t>
        </is>
      </c>
      <c r="Q133" t="n">
        <v>10</v>
      </c>
      <c r="R133">
        <f>IF(Q133="","",IF(Q133&gt;=60,"HIGH",IF(Q133&gt;=30,"MEDIUM","LOW")))</f>
        <v/>
      </c>
      <c r="S133" t="inlineStr">
        <is>
          <t>New</t>
        </is>
      </c>
      <c r="T133" t="inlineStr">
        <is>
          <t>2026-03-05</t>
        </is>
      </c>
      <c r="U133" t="inlineStr">
        <is>
          <t>Seed=Medzell; Seed-file: output/medzell_company_urls.txt</t>
        </is>
      </c>
    </row>
    <row r="134">
      <c r="A134" t="n">
        <v>133</v>
      </c>
      <c r="B134" t="inlineStr">
        <is>
          <t>Elite Lifecare: Redefining Medical Technology and Values in Healthcare</t>
        </is>
      </c>
      <c r="C134" t="inlineStr"/>
      <c r="D134" t="inlineStr">
        <is>
          <t>Manufacturer</t>
        </is>
      </c>
      <c r="E134" t="inlineStr">
        <is>
          <t>PPE</t>
        </is>
      </c>
      <c r="F134" t="inlineStr">
        <is>
          <t>Wound Care, Lab Consumables, Syringes &amp; Needles, IV Infusion Sets, Catheters, Gauze &amp; Bandages, Disinfectants, IV Cannulas</t>
        </is>
      </c>
      <c r="G134" t="inlineStr"/>
      <c r="H134" t="inlineStr">
        <is>
          <t>https://www.medzell.net/main-categories-application/therapeutic-devices/</t>
        </is>
      </c>
      <c r="I134" t="inlineStr">
        <is>
          <t>elitelifecare6@gmail.com</t>
        </is>
      </c>
      <c r="L134" t="inlineStr"/>
      <c r="M134" t="inlineStr"/>
      <c r="N134" t="inlineStr">
        <is>
          <t>TUV</t>
        </is>
      </c>
      <c r="O134" t="inlineStr">
        <is>
          <t>https://www.medzell.net/company/elite-life-care/</t>
        </is>
      </c>
      <c r="Q134" t="n">
        <v>45</v>
      </c>
      <c r="R134">
        <f>IF(Q134="","",IF(Q134&gt;=60,"HIGH",IF(Q134&gt;=30,"MEDIUM","LOW")))</f>
        <v/>
      </c>
      <c r="S134" t="inlineStr">
        <is>
          <t>New</t>
        </is>
      </c>
      <c r="T134" t="inlineStr">
        <is>
          <t>2026-03-05</t>
        </is>
      </c>
      <c r="U134" t="inlineStr">
        <is>
          <t>Seed=Medzell; Seed-file: output/medzell_company_urls.txt</t>
        </is>
      </c>
    </row>
    <row r="135">
      <c r="A135" t="n">
        <v>134</v>
      </c>
      <c r="B135" t="inlineStr">
        <is>
          <t>EMCO Meditek: Advanced Medical Equipment Manufacturer for Critical Care Units</t>
        </is>
      </c>
      <c r="C135" t="inlineStr"/>
      <c r="D135" t="inlineStr">
        <is>
          <t>Manufacturer</t>
        </is>
      </c>
      <c r="E135" t="inlineStr">
        <is>
          <t>PPE</t>
        </is>
      </c>
      <c r="F135" t="inlineStr">
        <is>
          <t>Wound Care, Lab Consumables, Syringes &amp; Needles, IV Infusion Sets, Gauze &amp; Bandages, Disinfectants, IV Cannulas, Catheters</t>
        </is>
      </c>
      <c r="G135" t="inlineStr"/>
      <c r="H135" t="inlineStr">
        <is>
          <t>https://www.medzell.net/main-categories-application/therapeutic-devices/</t>
        </is>
      </c>
      <c r="I135" t="inlineStr">
        <is>
          <t>emco@medzell.net</t>
        </is>
      </c>
      <c r="L135" t="inlineStr">
        <is>
          <t>Stated</t>
        </is>
      </c>
      <c r="M135" t="inlineStr"/>
      <c r="N135" t="inlineStr">
        <is>
          <t>TUV</t>
        </is>
      </c>
      <c r="O135" t="inlineStr">
        <is>
          <t>https://www.medzell.net/company/emco-meditek-pvt-ltd/</t>
        </is>
      </c>
      <c r="Q135" t="n">
        <v>10</v>
      </c>
      <c r="R135">
        <f>IF(Q135="","",IF(Q135&gt;=60,"HIGH",IF(Q135&gt;=30,"MEDIUM","LOW")))</f>
        <v/>
      </c>
      <c r="S135" t="inlineStr">
        <is>
          <t>New</t>
        </is>
      </c>
      <c r="T135" t="inlineStr">
        <is>
          <t>2026-03-05</t>
        </is>
      </c>
      <c r="U135" t="inlineStr">
        <is>
          <t>Seed=Medzell; Seed-file: output/medzell_company_urls.txt</t>
        </is>
      </c>
    </row>
    <row r="136">
      <c r="A136" t="n">
        <v>135</v>
      </c>
      <c r="B136" t="inlineStr">
        <is>
          <t>Encare Medical Devices | Trusted Manufacturer of Gloves, Surgical Drapes, Gowns &amp; Procedure Kits</t>
        </is>
      </c>
      <c r="C136" t="inlineStr"/>
      <c r="D136" t="inlineStr">
        <is>
          <t>Manufacturer</t>
        </is>
      </c>
      <c r="E136" t="inlineStr">
        <is>
          <t>PPE</t>
        </is>
      </c>
      <c r="F136" t="inlineStr">
        <is>
          <t>Wound Care, Gauze &amp; Bandages, Lab Consumables, Syringes &amp; Needles, IV Infusion Sets, Catheters, Gloves, Disinfectants, IV Cannulas</t>
        </is>
      </c>
      <c r="G136" t="inlineStr"/>
      <c r="H136" t="inlineStr">
        <is>
          <t>https://www.medzell.net/main-categories-application/therapeutic-devices/</t>
        </is>
      </c>
      <c r="I136" t="inlineStr">
        <is>
          <t>info@encaredevices.com</t>
        </is>
      </c>
      <c r="L136" t="inlineStr">
        <is>
          <t>Stated</t>
        </is>
      </c>
      <c r="M136" t="inlineStr"/>
      <c r="N136" t="inlineStr">
        <is>
          <t>TUV</t>
        </is>
      </c>
      <c r="O136" t="inlineStr">
        <is>
          <t>https://www.medzell.net/company/encare-medical-devices-pvt-ltd/</t>
        </is>
      </c>
      <c r="Q136" t="n">
        <v>10</v>
      </c>
      <c r="R136">
        <f>IF(Q136="","",IF(Q136&gt;=60,"HIGH",IF(Q136&gt;=30,"MEDIUM","LOW")))</f>
        <v/>
      </c>
      <c r="S136" t="inlineStr">
        <is>
          <t>New</t>
        </is>
      </c>
      <c r="T136" t="inlineStr">
        <is>
          <t>2026-03-05</t>
        </is>
      </c>
      <c r="U136" t="inlineStr">
        <is>
          <t>Seed=Medzell; Seed-file: output/medzell_company_urls.txt</t>
        </is>
      </c>
    </row>
    <row r="137">
      <c r="A137" t="n">
        <v>136</v>
      </c>
      <c r="B137" t="inlineStr">
        <is>
          <t>Revolutionizing Cardiovascular Care with Nanotechnology-Based Solutions | Envision Scientific Pvt. Ltd.</t>
        </is>
      </c>
      <c r="C137" t="inlineStr"/>
      <c r="D137" t="inlineStr">
        <is>
          <t>Manufacturer</t>
        </is>
      </c>
      <c r="E137" t="inlineStr">
        <is>
          <t>PPE</t>
        </is>
      </c>
      <c r="F137" t="inlineStr">
        <is>
          <t>Wound Care, Lab Consumables, Syringes &amp; Needles, IV Infusion Sets, Gauze &amp; Bandages, Disinfectants, IV Cannulas, Catheters</t>
        </is>
      </c>
      <c r="G137" t="inlineStr"/>
      <c r="H137" t="inlineStr">
        <is>
          <t>https://www.medzell.net/main-categories-application/therapeutic-devices/</t>
        </is>
      </c>
      <c r="I137" t="inlineStr">
        <is>
          <t>contact@espl.net.in</t>
        </is>
      </c>
      <c r="L137" t="inlineStr">
        <is>
          <t>Stated</t>
        </is>
      </c>
      <c r="M137" t="inlineStr"/>
      <c r="N137" t="inlineStr">
        <is>
          <t>TUV</t>
        </is>
      </c>
      <c r="O137" t="inlineStr">
        <is>
          <t>https://www.medzell.net/company/envision-scientific-pvt-ltd/</t>
        </is>
      </c>
      <c r="Q137" t="n">
        <v>10</v>
      </c>
      <c r="R137">
        <f>IF(Q137="","",IF(Q137&gt;=60,"HIGH",IF(Q137&gt;=30,"MEDIUM","LOW")))</f>
        <v/>
      </c>
      <c r="S137" t="inlineStr">
        <is>
          <t>New</t>
        </is>
      </c>
      <c r="T137" t="inlineStr">
        <is>
          <t>2026-03-05</t>
        </is>
      </c>
      <c r="U137" t="inlineStr">
        <is>
          <t>Seed=Medzell; Seed-file: output/medzell_company_urls.txt</t>
        </is>
      </c>
    </row>
    <row r="138">
      <c r="A138" t="n">
        <v>137</v>
      </c>
      <c r="B138" t="inlineStr">
        <is>
          <t>EON Meditech Pvt. Ltd. - Leading Manufacturer of ENT Implants and Instruments in Gujarat, India</t>
        </is>
      </c>
      <c r="C138" t="inlineStr"/>
      <c r="D138" t="inlineStr">
        <is>
          <t>Manufacturer</t>
        </is>
      </c>
      <c r="E138" t="inlineStr">
        <is>
          <t>PPE</t>
        </is>
      </c>
      <c r="F138" t="inlineStr">
        <is>
          <t>Wound Care, Lab Consumables, Syringes &amp; Needles, IV Infusion Sets, Gauze &amp; Bandages, Disinfectants, IV Cannulas, Catheters</t>
        </is>
      </c>
      <c r="G138" t="inlineStr"/>
      <c r="H138" t="inlineStr">
        <is>
          <t>https://www.medzell.net/main-categories-application/therapeutic-devices/</t>
        </is>
      </c>
      <c r="I138" t="inlineStr">
        <is>
          <t>khushroo@eonmeditech.com</t>
        </is>
      </c>
      <c r="L138" t="inlineStr">
        <is>
          <t>Stated</t>
        </is>
      </c>
      <c r="M138" t="inlineStr"/>
      <c r="N138" t="inlineStr">
        <is>
          <t>TUV</t>
        </is>
      </c>
      <c r="O138" t="inlineStr">
        <is>
          <t>https://www.medzell.net/company/eon-meditech-pvt-ltd/</t>
        </is>
      </c>
      <c r="Q138" t="n">
        <v>10</v>
      </c>
      <c r="R138">
        <f>IF(Q138="","",IF(Q138&gt;=60,"HIGH",IF(Q138&gt;=30,"MEDIUM","LOW")))</f>
        <v/>
      </c>
      <c r="S138" t="inlineStr">
        <is>
          <t>New</t>
        </is>
      </c>
      <c r="T138" t="inlineStr">
        <is>
          <t>2026-03-05</t>
        </is>
      </c>
      <c r="U138" t="inlineStr">
        <is>
          <t>Seed=Medzell; Seed-file: output/medzell_company_urls.txt</t>
        </is>
      </c>
    </row>
    <row r="139">
      <c r="A139" t="n">
        <v>138</v>
      </c>
      <c r="B139" t="inlineStr">
        <is>
          <t>Eucare Pharmaceuticals: Collagen Technologies &amp; Medical Devices | Medzell B2B Platform</t>
        </is>
      </c>
      <c r="C139" t="inlineStr"/>
      <c r="D139" t="inlineStr">
        <is>
          <t>Manufacturer</t>
        </is>
      </c>
      <c r="E139" t="inlineStr">
        <is>
          <t>PPE</t>
        </is>
      </c>
      <c r="F139" t="inlineStr">
        <is>
          <t>Wound Care, Lab Consumables, Syringes &amp; Needles, IV Infusion Sets, Gauze &amp; Bandages, Disinfectants, IV Cannulas, Catheters</t>
        </is>
      </c>
      <c r="G139" t="inlineStr"/>
      <c r="H139" t="inlineStr">
        <is>
          <t>https://www.medzell.net/main-categories-application/therapeutic-devices/</t>
        </is>
      </c>
      <c r="I139" t="inlineStr">
        <is>
          <t>arun.b@eucareindia.com</t>
        </is>
      </c>
      <c r="L139" t="inlineStr">
        <is>
          <t>Stated</t>
        </is>
      </c>
      <c r="M139" t="inlineStr"/>
      <c r="N139" t="inlineStr">
        <is>
          <t>GMP, TUV</t>
        </is>
      </c>
      <c r="O139" t="inlineStr">
        <is>
          <t>https://www.medzell.net/company/eucare-pharmaceuticals-p-ltd/</t>
        </is>
      </c>
      <c r="Q139" t="n">
        <v>10</v>
      </c>
      <c r="R139">
        <f>IF(Q139="","",IF(Q139&gt;=60,"HIGH",IF(Q139&gt;=30,"MEDIUM","LOW")))</f>
        <v/>
      </c>
      <c r="S139" t="inlineStr">
        <is>
          <t>New</t>
        </is>
      </c>
      <c r="T139" t="inlineStr">
        <is>
          <t>2026-03-05</t>
        </is>
      </c>
      <c r="U139" t="inlineStr">
        <is>
          <t>Seed=Medzell; Seed-file: output/medzell_company_urls.txt</t>
        </is>
      </c>
    </row>
    <row r="140">
      <c r="A140" t="n">
        <v>139</v>
      </c>
      <c r="B140" t="inlineStr">
        <is>
          <t>Evelabs Technologies: Pioneering Medical Devices for Enhanced Clinical Efficiency</t>
        </is>
      </c>
      <c r="C140" t="inlineStr"/>
      <c r="D140" t="inlineStr">
        <is>
          <t>Manufacturer</t>
        </is>
      </c>
      <c r="E140" t="inlineStr">
        <is>
          <t>PPE</t>
        </is>
      </c>
      <c r="F140" t="inlineStr">
        <is>
          <t>Wound Care, Lab Consumables, Syringes &amp; Needles, IV Infusion Sets, Gauze &amp; Bandages, Disinfectants, IV Cannulas, Catheters</t>
        </is>
      </c>
      <c r="G140" t="inlineStr"/>
      <c r="H140" t="inlineStr">
        <is>
          <t>https://www.medzell.net/main-categories-application/therapeutic-devices/</t>
        </is>
      </c>
      <c r="I140" t="inlineStr">
        <is>
          <t>jishnu.njohn@evelabs.co</t>
        </is>
      </c>
      <c r="L140" t="inlineStr">
        <is>
          <t>Stated</t>
        </is>
      </c>
      <c r="M140" t="inlineStr"/>
      <c r="N140" t="inlineStr">
        <is>
          <t>TUV</t>
        </is>
      </c>
      <c r="O140" t="inlineStr">
        <is>
          <t>https://www.medzell.net/company/evelabs-technologies-pvt-ltd/</t>
        </is>
      </c>
      <c r="Q140" t="n">
        <v>10</v>
      </c>
      <c r="R140">
        <f>IF(Q140="","",IF(Q140&gt;=60,"HIGH",IF(Q140&gt;=30,"MEDIUM","LOW")))</f>
        <v/>
      </c>
      <c r="S140" t="inlineStr">
        <is>
          <t>New</t>
        </is>
      </c>
      <c r="T140" t="inlineStr">
        <is>
          <t>2026-03-05</t>
        </is>
      </c>
      <c r="U140" t="inlineStr">
        <is>
          <t>Seed=Medzell; Seed-file: output/medzell_company_urls.txt</t>
        </is>
      </c>
    </row>
    <row r="141">
      <c r="A141" t="n">
        <v>140</v>
      </c>
      <c r="B141" t="inlineStr">
        <is>
          <t>Premium Medical Equipment Accessories | Explore Medical Accessories LLP</t>
        </is>
      </c>
      <c r="C141" t="inlineStr"/>
      <c r="D141" t="inlineStr">
        <is>
          <t>Manufacturer</t>
        </is>
      </c>
      <c r="E141" t="inlineStr">
        <is>
          <t>PPE</t>
        </is>
      </c>
      <c r="F141" t="inlineStr">
        <is>
          <t>Wound Care, Lab Consumables, Syringes &amp; Needles, IV Infusion Sets, Gauze &amp; Bandages, Disinfectants, IV Cannulas, Catheters</t>
        </is>
      </c>
      <c r="G141" t="inlineStr"/>
      <c r="H141" t="inlineStr">
        <is>
          <t>https://www.medzell.net/main-categories-application/therapeutic-devices/</t>
        </is>
      </c>
      <c r="I141" t="inlineStr">
        <is>
          <t>sales@exploremedical.org</t>
        </is>
      </c>
      <c r="L141" t="inlineStr"/>
      <c r="M141" t="inlineStr"/>
      <c r="N141" t="inlineStr">
        <is>
          <t>TUV</t>
        </is>
      </c>
      <c r="O141" t="inlineStr">
        <is>
          <t>https://www.medzell.net/company/explore-medical-accessories-llp/</t>
        </is>
      </c>
      <c r="Q141" t="n">
        <v>25</v>
      </c>
      <c r="R141">
        <f>IF(Q141="","",IF(Q141&gt;=60,"HIGH",IF(Q141&gt;=30,"MEDIUM","LOW")))</f>
        <v/>
      </c>
      <c r="S141" t="inlineStr">
        <is>
          <t>New</t>
        </is>
      </c>
      <c r="T141" t="inlineStr">
        <is>
          <t>2026-03-05</t>
        </is>
      </c>
      <c r="U141" t="inlineStr">
        <is>
          <t>Seed=Medzell; Seed-file: output/medzell_company_urls.txt</t>
        </is>
      </c>
    </row>
    <row r="142">
      <c r="A142" t="n">
        <v>141</v>
      </c>
      <c r="B142" t="inlineStr">
        <is>
          <t>Premium Medical Wear Supplier: Fasten Medical Pvt. Ltd. - Lab Coats, Medical Gowns, Gloves</t>
        </is>
      </c>
      <c r="C142" t="inlineStr"/>
      <c r="D142" t="inlineStr">
        <is>
          <t>Manufacturer</t>
        </is>
      </c>
      <c r="E142" t="inlineStr">
        <is>
          <t>PPE</t>
        </is>
      </c>
      <c r="F142" t="inlineStr">
        <is>
          <t>Wound Care, Lab Consumables, Syringes &amp; Needles, IV Infusion Sets, Gauze &amp; Bandages, Disinfectants, IV Cannulas, Catheters, Gloves</t>
        </is>
      </c>
      <c r="G142" t="inlineStr"/>
      <c r="H142" t="inlineStr">
        <is>
          <t>https://www.medzell.net/main-categories-application/therapeutic-devices/</t>
        </is>
      </c>
      <c r="I142" t="inlineStr">
        <is>
          <t>info@fastenmedical.com</t>
        </is>
      </c>
      <c r="L142" t="inlineStr"/>
      <c r="M142" t="inlineStr"/>
      <c r="N142" t="inlineStr">
        <is>
          <t>TUV</t>
        </is>
      </c>
      <c r="O142" t="inlineStr">
        <is>
          <t>https://www.medzell.net/company/fasten-medical-pvt-ltd/</t>
        </is>
      </c>
      <c r="Q142" t="n">
        <v>25</v>
      </c>
      <c r="R142">
        <f>IF(Q142="","",IF(Q142&gt;=60,"HIGH",IF(Q142&gt;=30,"MEDIUM","LOW")))</f>
        <v/>
      </c>
      <c r="S142" t="inlineStr">
        <is>
          <t>New</t>
        </is>
      </c>
      <c r="T142" t="inlineStr">
        <is>
          <t>2026-03-05</t>
        </is>
      </c>
      <c r="U142" t="inlineStr">
        <is>
          <t>Seed=Medzell; Seed-file: output/medzell_company_urls.txt</t>
        </is>
      </c>
    </row>
    <row r="143">
      <c r="A143" t="n">
        <v>142</v>
      </c>
      <c r="B143" t="inlineStr">
        <is>
          <t>FindAir - Leading the Future of Asthma &amp; COPD Management with Smart Inhaler Solutions</t>
        </is>
      </c>
      <c r="C143" t="inlineStr"/>
      <c r="D143" t="inlineStr">
        <is>
          <t>Manufacturer</t>
        </is>
      </c>
      <c r="E143" t="inlineStr">
        <is>
          <t>PPE</t>
        </is>
      </c>
      <c r="F143" t="inlineStr">
        <is>
          <t>Wound Care, Lab Consumables, Syringes &amp; Needles, IV Infusion Sets, Gauze &amp; Bandages, Disinfectants, IV Cannulas, Catheters</t>
        </is>
      </c>
      <c r="G143" t="inlineStr"/>
      <c r="H143" t="inlineStr">
        <is>
          <t>https://www.medzell.net/main-categories-application/therapeutic-devices/</t>
        </is>
      </c>
      <c r="I143" t="inlineStr">
        <is>
          <t>michal.wycichowski@findair.eu</t>
        </is>
      </c>
      <c r="L143" t="inlineStr"/>
      <c r="M143" t="inlineStr"/>
      <c r="N143" t="inlineStr">
        <is>
          <t>TUV</t>
        </is>
      </c>
      <c r="O143" t="inlineStr">
        <is>
          <t>https://www.medzell.net/company/findair-sp-z-oo/</t>
        </is>
      </c>
      <c r="Q143" t="n">
        <v>25</v>
      </c>
      <c r="R143">
        <f>IF(Q143="","",IF(Q143&gt;=60,"HIGH",IF(Q143&gt;=30,"MEDIUM","LOW")))</f>
        <v/>
      </c>
      <c r="S143" t="inlineStr">
        <is>
          <t>New</t>
        </is>
      </c>
      <c r="T143" t="inlineStr">
        <is>
          <t>2026-03-05</t>
        </is>
      </c>
      <c r="U143" t="inlineStr">
        <is>
          <t>Seed=Medzell; Seed-file: output/medzell_company_urls.txt</t>
        </is>
      </c>
    </row>
    <row r="144">
      <c r="A144" t="n">
        <v>143</v>
      </c>
      <c r="B144" t="inlineStr">
        <is>
          <t>Florotek Biosystems | Trusted Manufacturer of In-Vitro Diagnostic Equipment</t>
        </is>
      </c>
      <c r="C144" t="inlineStr"/>
      <c r="D144" t="inlineStr">
        <is>
          <t>Manufacturer</t>
        </is>
      </c>
      <c r="E144" t="inlineStr">
        <is>
          <t>PPE</t>
        </is>
      </c>
      <c r="F144" t="inlineStr">
        <is>
          <t>Wound Care, Lab Consumables, Syringes &amp; Needles, IV Infusion Sets, Gauze &amp; Bandages, Disinfectants, IV Cannulas, Catheters</t>
        </is>
      </c>
      <c r="G144" t="inlineStr"/>
      <c r="H144" t="inlineStr">
        <is>
          <t>https://www.medzell.net/main-categories-application/therapeutic-devices/</t>
        </is>
      </c>
      <c r="I144" t="inlineStr">
        <is>
          <t>florotek@gmail.com</t>
        </is>
      </c>
      <c r="L144" t="inlineStr"/>
      <c r="M144" t="inlineStr"/>
      <c r="N144" t="inlineStr">
        <is>
          <t>TUV</t>
        </is>
      </c>
      <c r="O144" t="inlineStr">
        <is>
          <t>https://www.medzell.net/company/florotek-biosystems/</t>
        </is>
      </c>
      <c r="Q144" t="n">
        <v>45</v>
      </c>
      <c r="R144">
        <f>IF(Q144="","",IF(Q144&gt;=60,"HIGH",IF(Q144&gt;=30,"MEDIUM","LOW")))</f>
        <v/>
      </c>
      <c r="S144" t="inlineStr">
        <is>
          <t>New</t>
        </is>
      </c>
      <c r="T144" t="inlineStr">
        <is>
          <t>2026-03-05</t>
        </is>
      </c>
      <c r="U144" t="inlineStr">
        <is>
          <t>Seed=Medzell; Seed-file: output/medzell_company_urls.txt</t>
        </is>
      </c>
    </row>
    <row r="145">
      <c r="A145" t="n">
        <v>144</v>
      </c>
      <c r="B145" t="inlineStr">
        <is>
          <t>Forca Healthcare: Innovative Medical Devices for Improved Patient Care and Clinician Usability</t>
        </is>
      </c>
      <c r="C145" t="inlineStr"/>
      <c r="D145" t="inlineStr">
        <is>
          <t>Manufacturer</t>
        </is>
      </c>
      <c r="E145" t="inlineStr">
        <is>
          <t>PPE</t>
        </is>
      </c>
      <c r="F145" t="inlineStr">
        <is>
          <t>Wound Care, Lab Consumables, Syringes &amp; Needles, IV Cannulas, IV Infusion Sets, Gauze &amp; Bandages, Disinfectants, Catheters</t>
        </is>
      </c>
      <c r="G145" t="inlineStr"/>
      <c r="H145" t="inlineStr">
        <is>
          <t>https://www.medzell.net/main-categories-application/therapeutic-devices/</t>
        </is>
      </c>
      <c r="I145" t="inlineStr">
        <is>
          <t>order@forca-healthcare.com</t>
        </is>
      </c>
      <c r="L145" t="inlineStr">
        <is>
          <t>Stated</t>
        </is>
      </c>
      <c r="M145" t="inlineStr"/>
      <c r="N145" t="inlineStr">
        <is>
          <t>GMP, TUV</t>
        </is>
      </c>
      <c r="O145" t="inlineStr">
        <is>
          <t>https://www.medzell.net/company/forca-healthcare/</t>
        </is>
      </c>
      <c r="Q145" t="n">
        <v>10</v>
      </c>
      <c r="R145">
        <f>IF(Q145="","",IF(Q145&gt;=60,"HIGH",IF(Q145&gt;=30,"MEDIUM","LOW")))</f>
        <v/>
      </c>
      <c r="S145" t="inlineStr">
        <is>
          <t>New</t>
        </is>
      </c>
      <c r="T145" t="inlineStr">
        <is>
          <t>2026-03-05</t>
        </is>
      </c>
      <c r="U145" t="inlineStr">
        <is>
          <t>Seed=Medzell; Seed-file: output/medzell_company_urls.txt</t>
        </is>
      </c>
    </row>
    <row r="146">
      <c r="A146" t="n">
        <v>145</v>
      </c>
      <c r="B146" t="inlineStr">
        <is>
          <t>Forsta Medtech - Revolutionary Microwave Disinfection Solutions for Healthcare</t>
        </is>
      </c>
      <c r="C146" t="inlineStr"/>
      <c r="D146" t="inlineStr">
        <is>
          <t>Manufacturer</t>
        </is>
      </c>
      <c r="E146" t="inlineStr">
        <is>
          <t>PPE</t>
        </is>
      </c>
      <c r="F146" t="inlineStr">
        <is>
          <t>Wound Care, Lab Consumables, Syringes &amp; Needles, IV Infusion Sets, Gauze &amp; Bandages, Disinfectants, IV Cannulas, Catheters</t>
        </is>
      </c>
      <c r="G146" t="inlineStr"/>
      <c r="H146" t="inlineStr">
        <is>
          <t>https://www.medzell.net/main-categories-application/therapeutic-devices/</t>
        </is>
      </c>
      <c r="I146" t="inlineStr">
        <is>
          <t>intl.support@forstamedtech.com</t>
        </is>
      </c>
      <c r="L146" t="inlineStr">
        <is>
          <t>Stated</t>
        </is>
      </c>
      <c r="M146" t="inlineStr"/>
      <c r="N146" t="inlineStr">
        <is>
          <t>TUV</t>
        </is>
      </c>
      <c r="O146" t="inlineStr">
        <is>
          <t>https://www.medzell.net/company/forsta-medtech-pvt-ltd/</t>
        </is>
      </c>
      <c r="Q146" t="n">
        <v>10</v>
      </c>
      <c r="R146">
        <f>IF(Q146="","",IF(Q146&gt;=60,"HIGH",IF(Q146&gt;=30,"MEDIUM","LOW")))</f>
        <v/>
      </c>
      <c r="S146" t="inlineStr">
        <is>
          <t>New</t>
        </is>
      </c>
      <c r="T146" t="inlineStr">
        <is>
          <t>2026-03-05</t>
        </is>
      </c>
      <c r="U146" t="inlineStr">
        <is>
          <t>Seed=Medzell; Seed-file: output/medzell_company_urls.txt</t>
        </is>
      </c>
    </row>
    <row r="147">
      <c r="A147" t="n">
        <v>146</v>
      </c>
      <c r="B147" t="inlineStr">
        <is>
          <t>Forus Health: Innovative Medical Devices for Preventable Blindness</t>
        </is>
      </c>
      <c r="C147" t="inlineStr"/>
      <c r="D147" t="inlineStr">
        <is>
          <t>Manufacturer</t>
        </is>
      </c>
      <c r="E147" t="inlineStr">
        <is>
          <t>PPE</t>
        </is>
      </c>
      <c r="F147" t="inlineStr">
        <is>
          <t>Wound Care, Lab Consumables, Syringes &amp; Needles, IV Infusion Sets, Gauze &amp; Bandages, Disinfectants, IV Cannulas, Catheters</t>
        </is>
      </c>
      <c r="G147" t="inlineStr"/>
      <c r="H147" t="inlineStr">
        <is>
          <t>https://www.medzell.net/main-categories-application/therapeutic-devices/</t>
        </is>
      </c>
      <c r="I147" t="inlineStr">
        <is>
          <t>harish@forushealth.com</t>
        </is>
      </c>
      <c r="L147" t="inlineStr">
        <is>
          <t>Stated</t>
        </is>
      </c>
      <c r="M147" t="inlineStr"/>
      <c r="N147" t="inlineStr">
        <is>
          <t>FDA, TUV</t>
        </is>
      </c>
      <c r="O147" t="inlineStr">
        <is>
          <t>https://www.medzell.net/company/forus-health-pvt-ltd/</t>
        </is>
      </c>
      <c r="Q147" t="n">
        <v>10</v>
      </c>
      <c r="R147">
        <f>IF(Q147="","",IF(Q147&gt;=60,"HIGH",IF(Q147&gt;=30,"MEDIUM","LOW")))</f>
        <v/>
      </c>
      <c r="S147" t="inlineStr">
        <is>
          <t>New</t>
        </is>
      </c>
      <c r="T147" t="inlineStr">
        <is>
          <t>2026-03-05</t>
        </is>
      </c>
      <c r="U147" t="inlineStr">
        <is>
          <t>Seed=Medzell; Seed-file: output/medzell_company_urls.txt</t>
        </is>
      </c>
    </row>
    <row r="148">
      <c r="A148" t="n">
        <v>147</v>
      </c>
      <c r="B148" t="inlineStr">
        <is>
          <t>Futura Surgicare Pvt. Ltd. - Leading Manufacturer &amp; Exporter of Wound Closure Products</t>
        </is>
      </c>
      <c r="C148" t="inlineStr"/>
      <c r="D148" t="inlineStr">
        <is>
          <t>Manufacturer</t>
        </is>
      </c>
      <c r="E148" t="inlineStr">
        <is>
          <t>PPE</t>
        </is>
      </c>
      <c r="F148" t="inlineStr">
        <is>
          <t>Wound Care, Lab Consumables, Syringes &amp; Needles, IV Infusion Sets, Gauze &amp; Bandages, Disinfectants, IV Cannulas, Catheters</t>
        </is>
      </c>
      <c r="G148" t="inlineStr"/>
      <c r="H148" t="inlineStr">
        <is>
          <t>https://www.medzell.net/main-categories-application/therapeutic-devices/</t>
        </is>
      </c>
      <c r="I148" t="inlineStr">
        <is>
          <t>exports@dolphinsutures.com</t>
        </is>
      </c>
      <c r="L148" t="inlineStr">
        <is>
          <t>Stated</t>
        </is>
      </c>
      <c r="M148" t="inlineStr"/>
      <c r="N148" t="inlineStr">
        <is>
          <t>GMP, TUV</t>
        </is>
      </c>
      <c r="O148" t="inlineStr">
        <is>
          <t>https://www.medzell.net/company/futura-surgicare-pvt-ltd/</t>
        </is>
      </c>
      <c r="Q148" t="n">
        <v>10</v>
      </c>
      <c r="R148">
        <f>IF(Q148="","",IF(Q148&gt;=60,"HIGH",IF(Q148&gt;=30,"MEDIUM","LOW")))</f>
        <v/>
      </c>
      <c r="S148" t="inlineStr">
        <is>
          <t>New</t>
        </is>
      </c>
      <c r="T148" t="inlineStr">
        <is>
          <t>2026-03-05</t>
        </is>
      </c>
      <c r="U148" t="inlineStr">
        <is>
          <t>Seed=Medzell; Seed-file: output/medzell_company_urls.txt</t>
        </is>
      </c>
    </row>
    <row r="149">
      <c r="A149" t="n">
        <v>148</v>
      </c>
      <c r="B149" t="inlineStr">
        <is>
          <t>Hand Rehabilitation Devices for Effective Training &amp; Assessment</t>
        </is>
      </c>
      <c r="C149" t="inlineStr"/>
      <c r="D149" t="inlineStr">
        <is>
          <t>Manufacturer</t>
        </is>
      </c>
      <c r="E149" t="inlineStr">
        <is>
          <t>PPE</t>
        </is>
      </c>
      <c r="F149" t="inlineStr">
        <is>
          <t>Wound Care, Lab Consumables, Syringes &amp; Needles, IV Infusion Sets, Gauze &amp; Bandages, Disinfectants, IV Cannulas, Catheters</t>
        </is>
      </c>
      <c r="G149" t="inlineStr"/>
      <c r="H149" t="inlineStr">
        <is>
          <t>https://www.medzell.net/main-categories-application/therapeutic-devices/</t>
        </is>
      </c>
      <c r="I149" t="inlineStr">
        <is>
          <t>info@galantoindia.com</t>
        </is>
      </c>
      <c r="L149" t="inlineStr"/>
      <c r="M149" t="inlineStr"/>
      <c r="N149" t="inlineStr">
        <is>
          <t>TUV</t>
        </is>
      </c>
      <c r="O149" t="inlineStr">
        <is>
          <t>https://www.medzell.net/company/galanto-innovations/</t>
        </is>
      </c>
      <c r="Q149" t="n">
        <v>25</v>
      </c>
      <c r="R149">
        <f>IF(Q149="","",IF(Q149&gt;=60,"HIGH",IF(Q149&gt;=30,"MEDIUM","LOW")))</f>
        <v/>
      </c>
      <c r="S149" t="inlineStr">
        <is>
          <t>New</t>
        </is>
      </c>
      <c r="T149" t="inlineStr">
        <is>
          <t>2026-03-05</t>
        </is>
      </c>
      <c r="U149" t="inlineStr">
        <is>
          <t>Seed=Medzell; Seed-file: output/medzell_company_urls.txt</t>
        </is>
      </c>
    </row>
    <row r="150">
      <c r="A150" t="n">
        <v>149</v>
      </c>
      <c r="B150" t="inlineStr">
        <is>
          <t>Leading Manufacturer of Surgical Dressings, Plaster of Paris Bandages, and Wound Care Products - Galaxy Medicare Limited</t>
        </is>
      </c>
      <c r="C150" t="inlineStr"/>
      <c r="D150" t="inlineStr">
        <is>
          <t>Manufacturer</t>
        </is>
      </c>
      <c r="E150" t="inlineStr">
        <is>
          <t>PPE</t>
        </is>
      </c>
      <c r="F150" t="inlineStr">
        <is>
          <t>Wound Care, Lab Consumables, Syringes &amp; Needles, IV Infusion Sets, Gauze &amp; Bandages, Disinfectants, IV Cannulas, Catheters</t>
        </is>
      </c>
      <c r="G150" t="inlineStr"/>
      <c r="H150" t="inlineStr">
        <is>
          <t>https://www.medzell.net/main-categories-application/therapeutic-devices/</t>
        </is>
      </c>
      <c r="I150" t="inlineStr">
        <is>
          <t>digital@galaxy.in</t>
        </is>
      </c>
      <c r="L150" t="inlineStr">
        <is>
          <t>Stated</t>
        </is>
      </c>
      <c r="M150" t="inlineStr"/>
      <c r="N150" t="inlineStr">
        <is>
          <t>TUV</t>
        </is>
      </c>
      <c r="O150" t="inlineStr">
        <is>
          <t>https://www.medzell.net/company/galaxy-medicare-limited/</t>
        </is>
      </c>
      <c r="Q150" t="n">
        <v>10</v>
      </c>
      <c r="R150">
        <f>IF(Q150="","",IF(Q150&gt;=60,"HIGH",IF(Q150&gt;=30,"MEDIUM","LOW")))</f>
        <v/>
      </c>
      <c r="S150" t="inlineStr">
        <is>
          <t>New</t>
        </is>
      </c>
      <c r="T150" t="inlineStr">
        <is>
          <t>2026-03-05</t>
        </is>
      </c>
      <c r="U150" t="inlineStr">
        <is>
          <t>Seed=Medzell; Seed-file: output/medzell_company_urls.txt</t>
        </is>
      </c>
    </row>
    <row r="151">
      <c r="A151" t="n">
        <v>150</v>
      </c>
      <c r="B151" t="inlineStr">
        <is>
          <t>Gaoton Medical - Innovators in Plasma Surgery Systems and High-Frequency Electrodes</t>
        </is>
      </c>
      <c r="C151" t="inlineStr"/>
      <c r="D151" t="inlineStr">
        <is>
          <t>Manufacturer</t>
        </is>
      </c>
      <c r="E151" t="inlineStr">
        <is>
          <t>PPE</t>
        </is>
      </c>
      <c r="F151" t="inlineStr">
        <is>
          <t>Wound Care, Lab Consumables, Syringes &amp; Needles, IV Infusion Sets, Catheters, Gauze &amp; Bandages, Disinfectants, IV Cannulas</t>
        </is>
      </c>
      <c r="G151" t="inlineStr"/>
      <c r="H151" t="inlineStr">
        <is>
          <t>https://www.medzell.net/main-categories-application/therapeutic-devices/</t>
        </is>
      </c>
      <c r="I151" t="inlineStr">
        <is>
          <t>sales@gaotontech.com</t>
        </is>
      </c>
      <c r="L151" t="inlineStr"/>
      <c r="M151" t="inlineStr">
        <is>
          <t>Stated</t>
        </is>
      </c>
      <c r="N151" t="inlineStr">
        <is>
          <t>FDA, TUV</t>
        </is>
      </c>
      <c r="O151" t="inlineStr">
        <is>
          <t>https://www.medzell.net/company/gaoton-medical/</t>
        </is>
      </c>
      <c r="Q151" t="n">
        <v>15</v>
      </c>
      <c r="R151">
        <f>IF(Q151="","",IF(Q151&gt;=60,"HIGH",IF(Q151&gt;=30,"MEDIUM","LOW")))</f>
        <v/>
      </c>
      <c r="S151" t="inlineStr">
        <is>
          <t>New</t>
        </is>
      </c>
      <c r="T151" t="inlineStr">
        <is>
          <t>2026-03-05</t>
        </is>
      </c>
      <c r="U151" t="inlineStr">
        <is>
          <t>Seed=Medzell; Seed-file: output/medzell_company_urls.txt</t>
        </is>
      </c>
    </row>
    <row r="152">
      <c r="A152" t="n">
        <v>151</v>
      </c>
      <c r="B152" t="inlineStr">
        <is>
          <t>Geeta Surgical: Leading Manufacturer of High-Quality LED OT Lights, OT Tables, and Hospital Furniture</t>
        </is>
      </c>
      <c r="C152" t="inlineStr"/>
      <c r="D152" t="inlineStr">
        <is>
          <t>Manufacturer</t>
        </is>
      </c>
      <c r="E152" t="inlineStr">
        <is>
          <t>PPE</t>
        </is>
      </c>
      <c r="F152" t="inlineStr">
        <is>
          <t>Wound Care, Lab Consumables, Syringes &amp; Needles, IV Infusion Sets, Gauze &amp; Bandages, Disinfectants, IV Cannulas, Catheters</t>
        </is>
      </c>
      <c r="G152" t="inlineStr"/>
      <c r="H152" t="inlineStr">
        <is>
          <t>https://www.medzell.net/main-categories-application/therapeutic-devices/</t>
        </is>
      </c>
      <c r="I152" t="inlineStr">
        <is>
          <t>geetasurgicalindia@gmail.com</t>
        </is>
      </c>
      <c r="L152" t="inlineStr"/>
      <c r="M152" t="inlineStr">
        <is>
          <t>Stated</t>
        </is>
      </c>
      <c r="N152" t="inlineStr">
        <is>
          <t>TUV</t>
        </is>
      </c>
      <c r="O152" t="inlineStr">
        <is>
          <t>https://www.medzell.net/company/geeta-surgical/</t>
        </is>
      </c>
      <c r="Q152" t="n">
        <v>35</v>
      </c>
      <c r="R152">
        <f>IF(Q152="","",IF(Q152&gt;=60,"HIGH",IF(Q152&gt;=30,"MEDIUM","LOW")))</f>
        <v/>
      </c>
      <c r="S152" t="inlineStr">
        <is>
          <t>New</t>
        </is>
      </c>
      <c r="T152" t="inlineStr">
        <is>
          <t>2026-03-05</t>
        </is>
      </c>
      <c r="U152" t="inlineStr">
        <is>
          <t>Seed=Medzell; Seed-file: output/medzell_company_urls.txt</t>
        </is>
      </c>
    </row>
    <row r="153">
      <c r="A153" t="n">
        <v>152</v>
      </c>
      <c r="B153" t="inlineStr">
        <is>
          <t>Genetix Biotech Asia: Advancing Life Science Research &amp; Diagnostics</t>
        </is>
      </c>
      <c r="C153" t="inlineStr"/>
      <c r="D153" t="inlineStr">
        <is>
          <t>Manufacturer</t>
        </is>
      </c>
      <c r="E153" t="inlineStr">
        <is>
          <t>PPE</t>
        </is>
      </c>
      <c r="F153" t="inlineStr">
        <is>
          <t>Wound Care, Lab Consumables, Syringes &amp; Needles, IV Infusion Sets, Gauze &amp; Bandages, Disinfectants, IV Cannulas, Catheters</t>
        </is>
      </c>
      <c r="G153" t="inlineStr"/>
      <c r="H153" t="inlineStr">
        <is>
          <t>https://www.medzell.net/main-categories-application/therapeutic-devices/</t>
        </is>
      </c>
      <c r="I153" t="inlineStr">
        <is>
          <t>ap@genetixbiotech.com</t>
        </is>
      </c>
      <c r="L153" t="inlineStr"/>
      <c r="M153" t="inlineStr"/>
      <c r="N153" t="inlineStr">
        <is>
          <t>TUV</t>
        </is>
      </c>
      <c r="O153" t="inlineStr">
        <is>
          <t>https://www.medzell.net/company/genetix-biotech-asia-pvt-ltd/</t>
        </is>
      </c>
      <c r="Q153" t="n">
        <v>25</v>
      </c>
      <c r="R153">
        <f>IF(Q153="","",IF(Q153&gt;=60,"HIGH",IF(Q153&gt;=30,"MEDIUM","LOW")))</f>
        <v/>
      </c>
      <c r="S153" t="inlineStr">
        <is>
          <t>New</t>
        </is>
      </c>
      <c r="T153" t="inlineStr">
        <is>
          <t>2026-03-05</t>
        </is>
      </c>
      <c r="U153" t="inlineStr">
        <is>
          <t>Seed=Medzell; Seed-file: output/medzell_company_urls.txt</t>
        </is>
      </c>
    </row>
    <row r="154">
      <c r="A154" t="n">
        <v>153</v>
      </c>
      <c r="B154" t="inlineStr">
        <is>
          <t>GERATI Healthcare: Leading Mnaufacturer Of Minimally Invasive Surgical Instruments</t>
        </is>
      </c>
      <c r="C154" t="inlineStr"/>
      <c r="D154" t="inlineStr">
        <is>
          <t>Manufacturer</t>
        </is>
      </c>
      <c r="E154" t="inlineStr">
        <is>
          <t>PPE</t>
        </is>
      </c>
      <c r="F154" t="inlineStr">
        <is>
          <t>Wound Care, Lab Consumables, Syringes &amp; Needles, IV Infusion Sets, Gauze &amp; Bandages, Disinfectants, IV Cannulas, Catheters</t>
        </is>
      </c>
      <c r="G154" t="inlineStr"/>
      <c r="H154" t="inlineStr">
        <is>
          <t>https://www.medzell.net/main-categories-application/therapeutic-devices/</t>
        </is>
      </c>
      <c r="I154" t="inlineStr">
        <is>
          <t>mail@gerati.com</t>
        </is>
      </c>
      <c r="L154" t="inlineStr">
        <is>
          <t>Stated</t>
        </is>
      </c>
      <c r="M154" t="inlineStr"/>
      <c r="N154" t="inlineStr">
        <is>
          <t>TUV</t>
        </is>
      </c>
      <c r="O154" t="inlineStr">
        <is>
          <t>https://www.medzell.net/company/gerati-healthcare/</t>
        </is>
      </c>
      <c r="Q154" t="n">
        <v>10</v>
      </c>
      <c r="R154">
        <f>IF(Q154="","",IF(Q154&gt;=60,"HIGH",IF(Q154&gt;=30,"MEDIUM","LOW")))</f>
        <v/>
      </c>
      <c r="S154" t="inlineStr">
        <is>
          <t>New</t>
        </is>
      </c>
      <c r="T154" t="inlineStr">
        <is>
          <t>2026-03-05</t>
        </is>
      </c>
      <c r="U154" t="inlineStr">
        <is>
          <t>Seed=Medzell; Seed-file: output/medzell_company_urls.txt</t>
        </is>
      </c>
    </row>
    <row r="155">
      <c r="A155" t="n">
        <v>154</v>
      </c>
      <c r="B155" t="inlineStr">
        <is>
          <t>Gladan Healthcare Co., Ltd. | OEM/ODM Solutions for IVD &amp; Medical Products</t>
        </is>
      </c>
      <c r="C155" t="inlineStr"/>
      <c r="D155" t="inlineStr">
        <is>
          <t>Manufacturer</t>
        </is>
      </c>
      <c r="E155" t="inlineStr">
        <is>
          <t>PPE</t>
        </is>
      </c>
      <c r="F155" t="inlineStr">
        <is>
          <t>Wound Care, Lab Consumables, Syringes &amp; Needles, IV Infusion Sets, Gauze &amp; Bandages, Disinfectants, IV Cannulas, Catheters</t>
        </is>
      </c>
      <c r="G155" t="inlineStr"/>
      <c r="H155" t="inlineStr">
        <is>
          <t>https://www.medzell.net/main-categories-application/therapeutic-devices/</t>
        </is>
      </c>
      <c r="I155" t="inlineStr">
        <is>
          <t>mason@gladanhealth.com</t>
        </is>
      </c>
      <c r="L155" t="inlineStr"/>
      <c r="M155" t="inlineStr"/>
      <c r="N155" t="inlineStr">
        <is>
          <t>TUV</t>
        </is>
      </c>
      <c r="O155" t="inlineStr">
        <is>
          <t>https://www.medzell.net/company/gladan-healthcare-coltd/</t>
        </is>
      </c>
      <c r="Q155" t="n">
        <v>25</v>
      </c>
      <c r="R155">
        <f>IF(Q155="","",IF(Q155&gt;=60,"HIGH",IF(Q155&gt;=30,"MEDIUM","LOW")))</f>
        <v/>
      </c>
      <c r="S155" t="inlineStr">
        <is>
          <t>New</t>
        </is>
      </c>
      <c r="T155" t="inlineStr">
        <is>
          <t>2026-03-05</t>
        </is>
      </c>
      <c r="U155" t="inlineStr">
        <is>
          <t>Seed=Medzell; Seed-file: output/medzell_company_urls.txt</t>
        </is>
      </c>
    </row>
    <row r="156">
      <c r="A156" t="n">
        <v>155</v>
      </c>
      <c r="B156" t="inlineStr">
        <is>
          <t>Glass Agencies: Reputable Manufacturer &amp; Global Supplier of Laboratory Instruments and Scientific Equipment - EROSE Brand in India</t>
        </is>
      </c>
      <c r="C156" t="inlineStr"/>
      <c r="D156" t="inlineStr">
        <is>
          <t>Manufacturer</t>
        </is>
      </c>
      <c r="E156" t="inlineStr">
        <is>
          <t>PPE</t>
        </is>
      </c>
      <c r="F156" t="inlineStr">
        <is>
          <t>Wound Care, Lab Consumables, Syringes &amp; Needles, IV Infusion Sets, Gauze &amp; Bandages, Disinfectants, IV Cannulas, Catheters</t>
        </is>
      </c>
      <c r="G156" t="inlineStr"/>
      <c r="H156" t="inlineStr">
        <is>
          <t>https://www.medzell.net/main-categories-application/therapeutic-devices/</t>
        </is>
      </c>
      <c r="I156" t="inlineStr">
        <is>
          <t>glassagencies@gmail.com</t>
        </is>
      </c>
      <c r="L156" t="inlineStr"/>
      <c r="M156" t="inlineStr"/>
      <c r="N156" t="inlineStr">
        <is>
          <t>TUV</t>
        </is>
      </c>
      <c r="O156" t="inlineStr">
        <is>
          <t>https://www.medzell.net/company/glass-agencies/</t>
        </is>
      </c>
      <c r="Q156" t="n">
        <v>45</v>
      </c>
      <c r="R156">
        <f>IF(Q156="","",IF(Q156&gt;=60,"HIGH",IF(Q156&gt;=30,"MEDIUM","LOW")))</f>
        <v/>
      </c>
      <c r="S156" t="inlineStr">
        <is>
          <t>New</t>
        </is>
      </c>
      <c r="T156" t="inlineStr">
        <is>
          <t>2026-03-05</t>
        </is>
      </c>
      <c r="U156" t="inlineStr">
        <is>
          <t>Seed=Medzell; Seed-file: output/medzell_company_urls.txt</t>
        </is>
      </c>
    </row>
    <row r="157">
      <c r="A157" t="n">
        <v>156</v>
      </c>
      <c r="B157" t="inlineStr">
        <is>
          <t>Glowtronics – Leading Manufacturer of Precision Medical Devices &amp; Components</t>
        </is>
      </c>
      <c r="C157" t="inlineStr"/>
      <c r="D157" t="inlineStr">
        <is>
          <t>Manufacturer</t>
        </is>
      </c>
      <c r="E157" t="inlineStr">
        <is>
          <t>PPE</t>
        </is>
      </c>
      <c r="F157" t="inlineStr">
        <is>
          <t>Wound Care, Lab Consumables, Syringes &amp; Needles, IV Infusion Sets, Catheters, Gauze &amp; Bandages, Disinfectants, IV Cannulas</t>
        </is>
      </c>
      <c r="G157" t="inlineStr"/>
      <c r="H157" t="inlineStr">
        <is>
          <t>https://www.medzell.net/main-categories-application/therapeutic-devices/</t>
        </is>
      </c>
      <c r="I157" t="inlineStr">
        <is>
          <t>dinesh@glowtronics.com</t>
        </is>
      </c>
      <c r="L157" t="inlineStr">
        <is>
          <t>Stated</t>
        </is>
      </c>
      <c r="M157" t="inlineStr"/>
      <c r="N157" t="inlineStr">
        <is>
          <t>TUV</t>
        </is>
      </c>
      <c r="O157" t="inlineStr">
        <is>
          <t>https://www.medzell.net/company/glowtronics-private-limited/</t>
        </is>
      </c>
      <c r="Q157" t="n">
        <v>10</v>
      </c>
      <c r="R157">
        <f>IF(Q157="","",IF(Q157&gt;=60,"HIGH",IF(Q157&gt;=30,"MEDIUM","LOW")))</f>
        <v/>
      </c>
      <c r="S157" t="inlineStr">
        <is>
          <t>New</t>
        </is>
      </c>
      <c r="T157" t="inlineStr">
        <is>
          <t>2026-03-05</t>
        </is>
      </c>
      <c r="U157" t="inlineStr">
        <is>
          <t>Seed=Medzell; Seed-file: output/medzell_company_urls.txt</t>
        </is>
      </c>
    </row>
    <row r="158">
      <c r="A158" t="n">
        <v>157</v>
      </c>
      <c r="B158" t="inlineStr">
        <is>
          <t>SpeechGears Pvt Ltd: Sensory Tools for Special Needs Children</t>
        </is>
      </c>
      <c r="C158" t="inlineStr"/>
      <c r="D158" t="inlineStr">
        <is>
          <t>Manufacturer</t>
        </is>
      </c>
      <c r="E158" t="inlineStr">
        <is>
          <t>PPE</t>
        </is>
      </c>
      <c r="F158" t="inlineStr">
        <is>
          <t>Wound Care, Lab Consumables, Syringes &amp; Needles, IV Infusion Sets, Gauze &amp; Bandages, Disinfectants, IV Cannulas, Catheters</t>
        </is>
      </c>
      <c r="G158" t="inlineStr"/>
      <c r="H158" t="inlineStr">
        <is>
          <t>https://www.medzell.net/main-categories-application/therapeutic-devices/</t>
        </is>
      </c>
      <c r="I158" t="inlineStr">
        <is>
          <t>marketing@speechgears.com</t>
        </is>
      </c>
      <c r="L158" t="inlineStr"/>
      <c r="M158" t="inlineStr"/>
      <c r="N158" t="inlineStr">
        <is>
          <t>TUV</t>
        </is>
      </c>
      <c r="O158" t="inlineStr">
        <is>
          <t>https://www.medzell.net/company/gms-speechgears-pvt-ltd/</t>
        </is>
      </c>
      <c r="Q158" t="n">
        <v>25</v>
      </c>
      <c r="R158">
        <f>IF(Q158="","",IF(Q158&gt;=60,"HIGH",IF(Q158&gt;=30,"MEDIUM","LOW")))</f>
        <v/>
      </c>
      <c r="S158" t="inlineStr">
        <is>
          <t>New</t>
        </is>
      </c>
      <c r="T158" t="inlineStr">
        <is>
          <t>2026-03-05</t>
        </is>
      </c>
      <c r="U158" t="inlineStr">
        <is>
          <t>Seed=Medzell; Seed-file: output/medzell_company_urls.txt</t>
        </is>
      </c>
    </row>
    <row r="159">
      <c r="A159" t="n">
        <v>158</v>
      </c>
      <c r="B159" t="inlineStr">
        <is>
          <t>Golden (India) Surgicals: Elevating Healthcare through Precision Instruments</t>
        </is>
      </c>
      <c r="C159" t="inlineStr"/>
      <c r="D159" t="inlineStr">
        <is>
          <t>Manufacturer</t>
        </is>
      </c>
      <c r="E159" t="inlineStr">
        <is>
          <t>PPE</t>
        </is>
      </c>
      <c r="F159" t="inlineStr">
        <is>
          <t>Wound Care, Lab Consumables, Syringes &amp; Needles, IV Infusion Sets, Gauze &amp; Bandages, Disinfectants, IV Cannulas, Catheters</t>
        </is>
      </c>
      <c r="G159" t="inlineStr"/>
      <c r="H159" t="inlineStr">
        <is>
          <t>https://www.medzell.net/main-categories-application/therapeutic-devices/</t>
        </is>
      </c>
      <c r="I159" t="inlineStr">
        <is>
          <t>golden_india@ymail.com</t>
        </is>
      </c>
      <c r="L159" t="inlineStr"/>
      <c r="M159" t="inlineStr"/>
      <c r="N159" t="inlineStr">
        <is>
          <t>TUV</t>
        </is>
      </c>
      <c r="O159" t="inlineStr">
        <is>
          <t>https://www.medzell.net/company/golden-india-surgicals/</t>
        </is>
      </c>
      <c r="Q159" t="n">
        <v>25</v>
      </c>
      <c r="R159">
        <f>IF(Q159="","",IF(Q159&gt;=60,"HIGH",IF(Q159&gt;=30,"MEDIUM","LOW")))</f>
        <v/>
      </c>
      <c r="S159" t="inlineStr">
        <is>
          <t>New</t>
        </is>
      </c>
      <c r="T159" t="inlineStr">
        <is>
          <t>2026-03-05</t>
        </is>
      </c>
      <c r="U159" t="inlineStr">
        <is>
          <t>Seed=Medzell; Seed-file: output/medzell_company_urls.txt</t>
        </is>
      </c>
    </row>
    <row r="160">
      <c r="A160" t="n">
        <v>159</v>
      </c>
      <c r="B160" t="inlineStr">
        <is>
          <t>Leading Manufacturer and Supplier of Absorbable Gelatin Sponge USP - Goodwill Lifesciences Private Limited</t>
        </is>
      </c>
      <c r="C160" t="inlineStr"/>
      <c r="D160" t="inlineStr">
        <is>
          <t>Manufacturer</t>
        </is>
      </c>
      <c r="E160" t="inlineStr">
        <is>
          <t>PPE</t>
        </is>
      </c>
      <c r="F160" t="inlineStr">
        <is>
          <t>Wound Care, Lab Consumables, Syringes &amp; Needles, IV Infusion Sets, Gauze &amp; Bandages, Disinfectants, IV Cannulas, Catheters</t>
        </is>
      </c>
      <c r="G160" t="inlineStr"/>
      <c r="H160" t="inlineStr">
        <is>
          <t>https://www.medzell.net/main-categories-application/therapeutic-devices/</t>
        </is>
      </c>
      <c r="I160" t="inlineStr">
        <is>
          <t>goodwill.lifesciences@gmail.com</t>
        </is>
      </c>
      <c r="L160" t="inlineStr"/>
      <c r="M160" t="inlineStr"/>
      <c r="N160" t="inlineStr">
        <is>
          <t>TUV</t>
        </is>
      </c>
      <c r="O160" t="inlineStr">
        <is>
          <t>https://www.medzell.net/company/goodwill-lifesciences/</t>
        </is>
      </c>
      <c r="Q160" t="n">
        <v>45</v>
      </c>
      <c r="R160">
        <f>IF(Q160="","",IF(Q160&gt;=60,"HIGH",IF(Q160&gt;=30,"MEDIUM","LOW")))</f>
        <v/>
      </c>
      <c r="S160" t="inlineStr">
        <is>
          <t>New</t>
        </is>
      </c>
      <c r="T160" t="inlineStr">
        <is>
          <t>2026-03-05</t>
        </is>
      </c>
      <c r="U160" t="inlineStr">
        <is>
          <t>Seed=Medzell; Seed-file: output/medzell_company_urls.txt</t>
        </is>
      </c>
    </row>
    <row r="161">
      <c r="A161" t="n">
        <v>160</v>
      </c>
      <c r="B161" t="inlineStr">
        <is>
          <t>Top Quality Microscopes &amp; Medical Equipment by G.S. Instruments Industries, Ambala</t>
        </is>
      </c>
      <c r="C161" t="inlineStr"/>
      <c r="D161" t="inlineStr">
        <is>
          <t>Manufacturer</t>
        </is>
      </c>
      <c r="E161" t="inlineStr">
        <is>
          <t>PPE</t>
        </is>
      </c>
      <c r="F161" t="inlineStr">
        <is>
          <t>Wound Care, Lab Consumables, Syringes &amp; Needles, IV Infusion Sets, Gauze &amp; Bandages, Disinfectants, IV Cannulas, Catheters</t>
        </is>
      </c>
      <c r="G161" t="inlineStr"/>
      <c r="H161" t="inlineStr">
        <is>
          <t>https://www.medzell.net/main-categories-application/therapeutic-devices/</t>
        </is>
      </c>
      <c r="I161" t="inlineStr">
        <is>
          <t>gemkolab@gmail.com</t>
        </is>
      </c>
      <c r="L161" t="inlineStr"/>
      <c r="M161" t="inlineStr"/>
      <c r="N161" t="inlineStr">
        <is>
          <t>TUV</t>
        </is>
      </c>
      <c r="O161" t="inlineStr">
        <is>
          <t>https://www.medzell.net/company/gsinstruments-industries/</t>
        </is>
      </c>
      <c r="Q161" t="n">
        <v>45</v>
      </c>
      <c r="R161">
        <f>IF(Q161="","",IF(Q161&gt;=60,"HIGH",IF(Q161&gt;=30,"MEDIUM","LOW")))</f>
        <v/>
      </c>
      <c r="S161" t="inlineStr">
        <is>
          <t>New</t>
        </is>
      </c>
      <c r="T161" t="inlineStr">
        <is>
          <t>2026-03-05</t>
        </is>
      </c>
      <c r="U161" t="inlineStr">
        <is>
          <t>Seed=Medzell; Seed-file: output/medzell_company_urls.txt</t>
        </is>
      </c>
    </row>
    <row r="162">
      <c r="A162" t="n">
        <v>161</v>
      </c>
      <c r="B162" t="inlineStr">
        <is>
          <t>GST Corporation Limited | Trusted Manufacturer &amp; Exporter of Medical &amp; Surgical Devices</t>
        </is>
      </c>
      <c r="C162" t="inlineStr"/>
      <c r="D162" t="inlineStr">
        <is>
          <t>Manufacturer</t>
        </is>
      </c>
      <c r="E162" t="inlineStr">
        <is>
          <t>PPE</t>
        </is>
      </c>
      <c r="F162" t="inlineStr">
        <is>
          <t>Wound Care, Catheters, Disinfectants, Lab Consumables, Syringes &amp; Needles, IV Cannulas, IV Infusion Sets, Gauze &amp; Bandages, Gloves</t>
        </is>
      </c>
      <c r="G162" t="inlineStr"/>
      <c r="H162" t="inlineStr">
        <is>
          <t>https://www.medzell.net/main-categories-application/therapeutic-devices/</t>
        </is>
      </c>
      <c r="I162" t="inlineStr">
        <is>
          <t>garimagstc@gmail.com</t>
        </is>
      </c>
      <c r="L162" t="inlineStr">
        <is>
          <t>Stated</t>
        </is>
      </c>
      <c r="M162" t="inlineStr">
        <is>
          <t>Stated</t>
        </is>
      </c>
      <c r="N162" t="inlineStr">
        <is>
          <t>FDA, TUV</t>
        </is>
      </c>
      <c r="O162" t="inlineStr">
        <is>
          <t>https://www.medzell.net/company/gst-corporation/</t>
        </is>
      </c>
      <c r="Q162" t="n">
        <v>20</v>
      </c>
      <c r="R162">
        <f>IF(Q162="","",IF(Q162&gt;=60,"HIGH",IF(Q162&gt;=30,"MEDIUM","LOW")))</f>
        <v/>
      </c>
      <c r="S162" t="inlineStr">
        <is>
          <t>New</t>
        </is>
      </c>
      <c r="T162" t="inlineStr">
        <is>
          <t>2026-03-05</t>
        </is>
      </c>
      <c r="U162" t="inlineStr">
        <is>
          <t>Seed=Medzell; Seed-file: output/medzell_company_urls.txt</t>
        </is>
      </c>
    </row>
    <row r="163">
      <c r="A163" t="n">
        <v>162</v>
      </c>
      <c r="B163" t="inlineStr">
        <is>
          <t>Guangdong Meicen Medical Equipment: Premier Manufacturer of Immobilization and Rehabilitation Devices</t>
        </is>
      </c>
      <c r="C163" t="inlineStr"/>
      <c r="D163" t="inlineStr">
        <is>
          <t>Manufacturer</t>
        </is>
      </c>
      <c r="E163" t="inlineStr">
        <is>
          <t>PPE</t>
        </is>
      </c>
      <c r="F163" t="inlineStr">
        <is>
          <t>Wound Care, Lab Consumables, Syringes &amp; Needles, IV Infusion Sets, Gauze &amp; Bandages, Disinfectants, IV Cannulas, Catheters</t>
        </is>
      </c>
      <c r="G163" t="inlineStr"/>
      <c r="H163" t="inlineStr">
        <is>
          <t>https://www.medzell.net/main-categories-application/therapeutic-devices/</t>
        </is>
      </c>
      <c r="I163" t="inlineStr">
        <is>
          <t>info@meicenmed.com</t>
        </is>
      </c>
      <c r="L163" t="inlineStr">
        <is>
          <t>Stated</t>
        </is>
      </c>
      <c r="M163" t="inlineStr"/>
      <c r="N163" t="inlineStr">
        <is>
          <t>FDA, TUV</t>
        </is>
      </c>
      <c r="O163" t="inlineStr">
        <is>
          <t>https://www.medzell.net/company/guangdong-meicen-medical-equipment-co-ltd/</t>
        </is>
      </c>
      <c r="Q163" t="n">
        <v>10</v>
      </c>
      <c r="R163">
        <f>IF(Q163="","",IF(Q163&gt;=60,"HIGH",IF(Q163&gt;=30,"MEDIUM","LOW")))</f>
        <v/>
      </c>
      <c r="S163" t="inlineStr">
        <is>
          <t>New</t>
        </is>
      </c>
      <c r="T163" t="inlineStr">
        <is>
          <t>2026-03-05</t>
        </is>
      </c>
      <c r="U163" t="inlineStr">
        <is>
          <t>Seed=Medzell; Seed-file: output/medzell_company_urls.txt</t>
        </is>
      </c>
    </row>
    <row r="164">
      <c r="A164" t="n">
        <v>163</v>
      </c>
      <c r="B164" t="inlineStr">
        <is>
          <t>Gulati Industries – Leading Manufacturer of High-Quality Medical Gas Regulators, Suction Machines, Anesthesia Machines</t>
        </is>
      </c>
      <c r="C164" t="inlineStr"/>
      <c r="D164" t="inlineStr">
        <is>
          <t>Manufacturer</t>
        </is>
      </c>
      <c r="E164" t="inlineStr">
        <is>
          <t>PPE</t>
        </is>
      </c>
      <c r="F164" t="inlineStr">
        <is>
          <t>Wound Care, Lab Consumables, Syringes &amp; Needles, IV Infusion Sets, Gauze &amp; Bandages, Disinfectants, IV Cannulas, Catheters</t>
        </is>
      </c>
      <c r="G164" t="inlineStr"/>
      <c r="H164" t="inlineStr">
        <is>
          <t>https://www.medzell.net/main-categories-application/therapeutic-devices/</t>
        </is>
      </c>
      <c r="I164" t="inlineStr">
        <is>
          <t>gulatiindustries49@gmail.com</t>
        </is>
      </c>
      <c r="L164" t="inlineStr"/>
      <c r="M164" t="inlineStr"/>
      <c r="N164" t="inlineStr">
        <is>
          <t>TUV</t>
        </is>
      </c>
      <c r="O164" t="inlineStr">
        <is>
          <t>https://www.medzell.net/company/gulati-industries/</t>
        </is>
      </c>
      <c r="Q164" t="n">
        <v>45</v>
      </c>
      <c r="R164">
        <f>IF(Q164="","",IF(Q164&gt;=60,"HIGH",IF(Q164&gt;=30,"MEDIUM","LOW")))</f>
        <v/>
      </c>
      <c r="S164" t="inlineStr">
        <is>
          <t>New</t>
        </is>
      </c>
      <c r="T164" t="inlineStr">
        <is>
          <t>2026-03-05</t>
        </is>
      </c>
      <c r="U164" t="inlineStr">
        <is>
          <t>Seed=Medzell; Seed-file: output/medzell_company_urls.txt</t>
        </is>
      </c>
    </row>
    <row r="165">
      <c r="A165" t="n">
        <v>164</v>
      </c>
      <c r="B165" t="inlineStr">
        <is>
          <t>Haidari Beauty Technology – Medical &amp; Aesthetic Laser Equipment Manufacturer in China</t>
        </is>
      </c>
      <c r="C165" t="inlineStr"/>
      <c r="D165" t="inlineStr">
        <is>
          <t>Manufacturer</t>
        </is>
      </c>
      <c r="E165" t="inlineStr">
        <is>
          <t>PPE</t>
        </is>
      </c>
      <c r="F165" t="inlineStr">
        <is>
          <t>Wound Care, Lab Consumables, Syringes &amp; Needles, IV Infusion Sets, Gauze &amp; Bandages, Disinfectants, IV Cannulas, Catheters</t>
        </is>
      </c>
      <c r="G165" t="inlineStr"/>
      <c r="H165" t="inlineStr">
        <is>
          <t>https://www.medzell.net/main-categories-application/therapeutic-devices/</t>
        </is>
      </c>
      <c r="I165" t="inlineStr">
        <is>
          <t>connor@haidaribeauty.com</t>
        </is>
      </c>
      <c r="L165" t="inlineStr"/>
      <c r="M165" t="inlineStr"/>
      <c r="N165" t="inlineStr">
        <is>
          <t>FDA, TUV</t>
        </is>
      </c>
      <c r="O165" t="inlineStr">
        <is>
          <t>https://www.medzell.net/company/haidari-beauty-technology-beijing-co-ltd/</t>
        </is>
      </c>
      <c r="Q165" t="n">
        <v>25</v>
      </c>
      <c r="R165">
        <f>IF(Q165="","",IF(Q165&gt;=60,"HIGH",IF(Q165&gt;=30,"MEDIUM","LOW")))</f>
        <v/>
      </c>
      <c r="S165" t="inlineStr">
        <is>
          <t>New</t>
        </is>
      </c>
      <c r="T165" t="inlineStr">
        <is>
          <t>2026-03-05</t>
        </is>
      </c>
      <c r="U165" t="inlineStr">
        <is>
          <t>Seed=Medzell; Seed-file: output/medzell_company_urls.txt</t>
        </is>
      </c>
    </row>
    <row r="166">
      <c r="A166" t="n">
        <v>165</v>
      </c>
      <c r="B166" t="inlineStr">
        <is>
          <t>Premium Medical Devices and Consumables Manufacturer | Hanscure Lifescience Pvt Ltd</t>
        </is>
      </c>
      <c r="C166" t="inlineStr"/>
      <c r="D166" t="inlineStr">
        <is>
          <t>Manufacturer</t>
        </is>
      </c>
      <c r="E166" t="inlineStr">
        <is>
          <t>PPE</t>
        </is>
      </c>
      <c r="F166" t="inlineStr">
        <is>
          <t>Wound Care, Lab Consumables, Syringes &amp; Needles, IV Infusion Sets, Gauze &amp; Bandages, Disinfectants, IV Cannulas, Catheters</t>
        </is>
      </c>
      <c r="G166" t="inlineStr"/>
      <c r="H166" t="inlineStr">
        <is>
          <t>https://www.medzell.net/main-categories-application/therapeutic-devices/</t>
        </is>
      </c>
      <c r="I166" t="inlineStr">
        <is>
          <t>info@hanscurelifescience.in</t>
        </is>
      </c>
      <c r="L166" t="inlineStr">
        <is>
          <t>Stated</t>
        </is>
      </c>
      <c r="M166" t="inlineStr"/>
      <c r="N166" t="inlineStr">
        <is>
          <t>TUV</t>
        </is>
      </c>
      <c r="O166" t="inlineStr">
        <is>
          <t>https://www.medzell.net/company/hanscure-lifescience-pvt-ltd/</t>
        </is>
      </c>
      <c r="Q166" t="n">
        <v>10</v>
      </c>
      <c r="R166">
        <f>IF(Q166="","",IF(Q166&gt;=60,"HIGH",IF(Q166&gt;=30,"MEDIUM","LOW")))</f>
        <v/>
      </c>
      <c r="S166" t="inlineStr">
        <is>
          <t>New</t>
        </is>
      </c>
      <c r="T166" t="inlineStr">
        <is>
          <t>2026-03-05</t>
        </is>
      </c>
      <c r="U166" t="inlineStr">
        <is>
          <t>Seed=Medzell; Seed-file: output/medzell_company_urls.txt</t>
        </is>
      </c>
    </row>
    <row r="167">
      <c r="A167" t="n">
        <v>166</v>
      </c>
      <c r="B167" t="inlineStr">
        <is>
          <t>Advanced Surgical Navigation Solutions by HRS Navigation - Empowering Surgeons and Enhancing Patient Outcomes</t>
        </is>
      </c>
      <c r="C167" t="inlineStr"/>
      <c r="D167" t="inlineStr">
        <is>
          <t>Manufacturer</t>
        </is>
      </c>
      <c r="E167" t="inlineStr">
        <is>
          <t>PPE</t>
        </is>
      </c>
      <c r="F167" t="inlineStr">
        <is>
          <t>Wound Care, Lab Consumables, Syringes &amp; Needles, IV Infusion Sets, Gauze &amp; Bandages, Disinfectants, IV Cannulas, Catheters</t>
        </is>
      </c>
      <c r="G167" t="inlineStr"/>
      <c r="H167" t="inlineStr">
        <is>
          <t>https://www.medzell.net/main-categories-application/therapeutic-devices/</t>
        </is>
      </c>
      <c r="I167" t="inlineStr">
        <is>
          <t>dhananjay@hrsnavigation.com</t>
        </is>
      </c>
      <c r="L167" t="inlineStr">
        <is>
          <t>Stated</t>
        </is>
      </c>
      <c r="M167" t="inlineStr"/>
      <c r="N167" t="inlineStr">
        <is>
          <t>TUV</t>
        </is>
      </c>
      <c r="O167" t="inlineStr">
        <is>
          <t>https://www.medzell.net/company/happy-reliable-surgeries-pvt-ltd/</t>
        </is>
      </c>
      <c r="Q167" t="n">
        <v>10</v>
      </c>
      <c r="R167">
        <f>IF(Q167="","",IF(Q167&gt;=60,"HIGH",IF(Q167&gt;=30,"MEDIUM","LOW")))</f>
        <v/>
      </c>
      <c r="S167" t="inlineStr">
        <is>
          <t>New</t>
        </is>
      </c>
      <c r="T167" t="inlineStr">
        <is>
          <t>2026-03-05</t>
        </is>
      </c>
      <c r="U167" t="inlineStr">
        <is>
          <t>Seed=Medzell; Seed-file: output/medzell_company_urls.txt</t>
        </is>
      </c>
    </row>
    <row r="168">
      <c r="A168" t="n">
        <v>167</v>
      </c>
      <c r="B168" t="inlineStr">
        <is>
          <t>Healkeren Medtronics: India's Leading Manufacturer of Dermatology, Cosmetology, and Neonatology Medical Devices</t>
        </is>
      </c>
      <c r="C168" t="inlineStr"/>
      <c r="D168" t="inlineStr">
        <is>
          <t>Manufacturer</t>
        </is>
      </c>
      <c r="E168" t="inlineStr">
        <is>
          <t>PPE</t>
        </is>
      </c>
      <c r="F168" t="inlineStr">
        <is>
          <t>Wound Care, Lab Consumables, Syringes &amp; Needles, IV Infusion Sets, Gauze &amp; Bandages, Disinfectants, IV Cannulas, Catheters</t>
        </is>
      </c>
      <c r="G168" t="inlineStr"/>
      <c r="H168" t="inlineStr">
        <is>
          <t>https://www.medzell.net/main-categories-application/therapeutic-devices/</t>
        </is>
      </c>
      <c r="I168" t="inlineStr">
        <is>
          <t>info@healkeren.com</t>
        </is>
      </c>
      <c r="L168" t="inlineStr"/>
      <c r="M168" t="inlineStr"/>
      <c r="N168" t="inlineStr">
        <is>
          <t>TUV</t>
        </is>
      </c>
      <c r="O168" t="inlineStr">
        <is>
          <t>https://www.medzell.net/company/healkeren-medtronics-private-limited/</t>
        </is>
      </c>
      <c r="Q168" t="n">
        <v>25</v>
      </c>
      <c r="R168">
        <f>IF(Q168="","",IF(Q168&gt;=60,"HIGH",IF(Q168&gt;=30,"MEDIUM","LOW")))</f>
        <v/>
      </c>
      <c r="S168" t="inlineStr">
        <is>
          <t>New</t>
        </is>
      </c>
      <c r="T168" t="inlineStr">
        <is>
          <t>2026-03-05</t>
        </is>
      </c>
      <c r="U168" t="inlineStr">
        <is>
          <t>Seed=Medzell; Seed-file: output/medzell_company_urls.txt</t>
        </is>
      </c>
    </row>
    <row r="169">
      <c r="A169" t="n">
        <v>168</v>
      </c>
      <c r="B169" t="inlineStr">
        <is>
          <t>Healthium Medtech – Global Medtech Leader in Surgical and Post-Surgical Care</t>
        </is>
      </c>
      <c r="C169" t="inlineStr"/>
      <c r="D169" t="inlineStr">
        <is>
          <t>Manufacturer</t>
        </is>
      </c>
      <c r="E169" t="inlineStr">
        <is>
          <t>PPE</t>
        </is>
      </c>
      <c r="F169" t="inlineStr">
        <is>
          <t>Wound Care, Lab Consumables, Syringes &amp; Needles, IV Infusion Sets, Gauze &amp; Bandages, Disinfectants, IV Cannulas, Catheters</t>
        </is>
      </c>
      <c r="G169" t="inlineStr"/>
      <c r="H169" t="inlineStr">
        <is>
          <t>https://www.medzell.net/main-categories-application/therapeutic-devices/</t>
        </is>
      </c>
      <c r="I169" t="inlineStr">
        <is>
          <t>nishant.g@healthiummedtech.com</t>
        </is>
      </c>
      <c r="L169" t="inlineStr">
        <is>
          <t>Stated</t>
        </is>
      </c>
      <c r="M169" t="inlineStr">
        <is>
          <t>Stated</t>
        </is>
      </c>
      <c r="N169" t="inlineStr">
        <is>
          <t>FDA, TUV</t>
        </is>
      </c>
      <c r="O169" t="inlineStr">
        <is>
          <t>https://www.medzell.net/company/healthium-medtech-ltd/</t>
        </is>
      </c>
      <c r="Q169" t="n">
        <v>0</v>
      </c>
      <c r="R169">
        <f>IF(Q169="","",IF(Q169&gt;=60,"HIGH",IF(Q169&gt;=30,"MEDIUM","LOW")))</f>
        <v/>
      </c>
      <c r="S169" t="inlineStr">
        <is>
          <t>New</t>
        </is>
      </c>
      <c r="T169" t="inlineStr">
        <is>
          <t>2026-03-05</t>
        </is>
      </c>
      <c r="U169" t="inlineStr">
        <is>
          <t>Seed=Medzell; Seed-file: output/medzell_company_urls.txt</t>
        </is>
      </c>
    </row>
    <row r="170">
      <c r="A170" t="n">
        <v>169</v>
      </c>
      <c r="B170" t="inlineStr">
        <is>
          <t>Innovative &amp; Next-gen Neonatal Care Solutions</t>
        </is>
      </c>
      <c r="C170" t="inlineStr"/>
      <c r="D170" t="inlineStr">
        <is>
          <t>Manufacturer</t>
        </is>
      </c>
      <c r="E170" t="inlineStr">
        <is>
          <t>PPE</t>
        </is>
      </c>
      <c r="F170" t="inlineStr">
        <is>
          <t>Wound Care, Lab Consumables, Syringes &amp; Needles, IV Infusion Sets, Gauze &amp; Bandages, Disinfectants, IV Cannulas, Catheters</t>
        </is>
      </c>
      <c r="G170" t="inlineStr"/>
      <c r="H170" t="inlineStr">
        <is>
          <t>https://www.medzell.net/main-categories-application/therapeutic-devices/</t>
        </is>
      </c>
      <c r="I170" t="inlineStr">
        <is>
          <t>prasad@heamac.com</t>
        </is>
      </c>
      <c r="L170" t="inlineStr">
        <is>
          <t>Stated</t>
        </is>
      </c>
      <c r="M170" t="inlineStr"/>
      <c r="N170" t="inlineStr">
        <is>
          <t>TUV</t>
        </is>
      </c>
      <c r="O170" t="inlineStr">
        <is>
          <t>https://www.medzell.net/company/heamac-healthcare-private-limited/</t>
        </is>
      </c>
      <c r="Q170" t="n">
        <v>10</v>
      </c>
      <c r="R170">
        <f>IF(Q170="","",IF(Q170&gt;=60,"HIGH",IF(Q170&gt;=30,"MEDIUM","LOW")))</f>
        <v/>
      </c>
      <c r="S170" t="inlineStr">
        <is>
          <t>New</t>
        </is>
      </c>
      <c r="T170" t="inlineStr">
        <is>
          <t>2026-03-05</t>
        </is>
      </c>
      <c r="U170" t="inlineStr">
        <is>
          <t>Seed=Medzell; Seed-file: output/medzell_company_urls.txt</t>
        </is>
      </c>
    </row>
    <row r="171">
      <c r="A171" t="n">
        <v>170</v>
      </c>
      <c r="B171" t="inlineStr">
        <is>
          <t>Leading Manufacturer of Advanced Cardiac Care Solutions - HEART CARE INDIA CO.</t>
        </is>
      </c>
      <c r="C171" t="inlineStr"/>
      <c r="D171" t="inlineStr">
        <is>
          <t>Manufacturer</t>
        </is>
      </c>
      <c r="E171" t="inlineStr">
        <is>
          <t>PPE</t>
        </is>
      </c>
      <c r="F171" t="inlineStr">
        <is>
          <t>Wound Care, Lab Consumables, Syringes &amp; Needles, IV Infusion Sets, Gauze &amp; Bandages, Disinfectants, IV Cannulas, Catheters</t>
        </is>
      </c>
      <c r="G171" t="inlineStr"/>
      <c r="H171" t="inlineStr">
        <is>
          <t>https://www.medzell.net/main-categories-application/therapeutic-devices/</t>
        </is>
      </c>
      <c r="I171" t="inlineStr">
        <is>
          <t>heartcare1995@gmail.com</t>
        </is>
      </c>
      <c r="L171" t="inlineStr"/>
      <c r="M171" t="inlineStr">
        <is>
          <t>Stated</t>
        </is>
      </c>
      <c r="N171" t="inlineStr">
        <is>
          <t>TUV</t>
        </is>
      </c>
      <c r="O171" t="inlineStr">
        <is>
          <t>https://www.medzell.net/company/heart-care-india-co/</t>
        </is>
      </c>
      <c r="Q171" t="n">
        <v>35</v>
      </c>
      <c r="R171">
        <f>IF(Q171="","",IF(Q171&gt;=60,"HIGH",IF(Q171&gt;=30,"MEDIUM","LOW")))</f>
        <v/>
      </c>
      <c r="S171" t="inlineStr">
        <is>
          <t>New</t>
        </is>
      </c>
      <c r="T171" t="inlineStr">
        <is>
          <t>2026-03-05</t>
        </is>
      </c>
      <c r="U171" t="inlineStr">
        <is>
          <t>Seed=Medzell; Seed-file: output/medzell_company_urls.txt</t>
        </is>
      </c>
    </row>
    <row r="172">
      <c r="A172" t="n">
        <v>171</v>
      </c>
      <c r="B172" t="inlineStr">
        <is>
          <t>HekaFlo HFNC: Revolutionary High-Flow Nasal Cannula Oxygen Therapy Device | Heka Medicals India Pvt. Ltd.</t>
        </is>
      </c>
      <c r="C172" t="inlineStr"/>
      <c r="D172" t="inlineStr">
        <is>
          <t>Manufacturer</t>
        </is>
      </c>
      <c r="E172" t="inlineStr">
        <is>
          <t>PPE</t>
        </is>
      </c>
      <c r="F172" t="inlineStr">
        <is>
          <t>Wound Care, Lab Consumables, Syringes &amp; Needles, IV Infusion Sets, Gauze &amp; Bandages, Disinfectants, IV Cannulas, Catheters</t>
        </is>
      </c>
      <c r="G172" t="inlineStr"/>
      <c r="H172" t="inlineStr">
        <is>
          <t>https://www.medzell.net/main-categories-application/therapeutic-devices/</t>
        </is>
      </c>
      <c r="I172" t="inlineStr">
        <is>
          <t>sephy.sebastian@hekamedicals.com</t>
        </is>
      </c>
      <c r="L172" t="inlineStr">
        <is>
          <t>Stated</t>
        </is>
      </c>
      <c r="M172" t="inlineStr"/>
      <c r="N172" t="inlineStr">
        <is>
          <t>TUV</t>
        </is>
      </c>
      <c r="O172" t="inlineStr">
        <is>
          <t>https://www.medzell.net/company/heka-medicals-india-pvt-ltd/</t>
        </is>
      </c>
      <c r="Q172" t="n">
        <v>10</v>
      </c>
      <c r="R172">
        <f>IF(Q172="","",IF(Q172&gt;=60,"HIGH",IF(Q172&gt;=30,"MEDIUM","LOW")))</f>
        <v/>
      </c>
      <c r="S172" t="inlineStr">
        <is>
          <t>New</t>
        </is>
      </c>
      <c r="T172" t="inlineStr">
        <is>
          <t>2026-03-05</t>
        </is>
      </c>
      <c r="U172" t="inlineStr">
        <is>
          <t>Seed=Medzell; Seed-file: output/medzell_company_urls.txt</t>
        </is>
      </c>
    </row>
    <row r="173">
      <c r="A173" t="n">
        <v>172</v>
      </c>
      <c r="B173" t="inlineStr">
        <is>
          <t>Hi-Tech Medics: Unprecedented Heights in Medical Disposables Manufacturing</t>
        </is>
      </c>
      <c r="C173" t="inlineStr"/>
      <c r="D173" t="inlineStr">
        <is>
          <t>Manufacturer</t>
        </is>
      </c>
      <c r="E173" t="inlineStr">
        <is>
          <t>Syringes &amp; Needles</t>
        </is>
      </c>
      <c r="F173" t="inlineStr">
        <is>
          <t>PPE, Wound Care, IV Infusion Sets, Lab Consumables, IV Cannulas, Gauze &amp; Bandages, Disinfectants, Catheters</t>
        </is>
      </c>
      <c r="G173" t="inlineStr"/>
      <c r="H173" t="inlineStr">
        <is>
          <t>https://www.medzell.net/main-categories-application/therapeutic-devices/</t>
        </is>
      </c>
      <c r="I173" t="inlineStr">
        <is>
          <t>sales1@hitechsyringes.com</t>
        </is>
      </c>
      <c r="L173" t="inlineStr">
        <is>
          <t>Stated</t>
        </is>
      </c>
      <c r="M173" t="inlineStr"/>
      <c r="N173" t="inlineStr">
        <is>
          <t>GMP, TUV</t>
        </is>
      </c>
      <c r="O173" t="inlineStr">
        <is>
          <t>https://www.medzell.net/company/hi-tech-medics-private-limited/</t>
        </is>
      </c>
      <c r="Q173" t="n">
        <v>10</v>
      </c>
      <c r="R173">
        <f>IF(Q173="","",IF(Q173&gt;=60,"HIGH",IF(Q173&gt;=30,"MEDIUM","LOW")))</f>
        <v/>
      </c>
      <c r="S173" t="inlineStr">
        <is>
          <t>New</t>
        </is>
      </c>
      <c r="T173" t="inlineStr">
        <is>
          <t>2026-03-05</t>
        </is>
      </c>
      <c r="U173" t="inlineStr">
        <is>
          <t>Seed=Medzell; Seed-file: output/medzell_company_urls.txt</t>
        </is>
      </c>
    </row>
    <row r="174">
      <c r="A174" t="n">
        <v>173</v>
      </c>
      <c r="B174" t="inlineStr">
        <is>
          <t>HILD Medical: Leading Manufacturer of Critical Care Equipment and Hospital Consumables</t>
        </is>
      </c>
      <c r="C174" t="inlineStr"/>
      <c r="D174" t="inlineStr">
        <is>
          <t>Manufacturer</t>
        </is>
      </c>
      <c r="E174" t="inlineStr">
        <is>
          <t>PPE</t>
        </is>
      </c>
      <c r="F174" t="inlineStr">
        <is>
          <t>Wound Care, Lab Consumables, Syringes &amp; Needles, IV Infusion Sets, Gauze &amp; Bandages, Disinfectants, IV Cannulas, Catheters</t>
        </is>
      </c>
      <c r="G174" t="inlineStr"/>
      <c r="H174" t="inlineStr">
        <is>
          <t>https://www.medzell.net/main-categories-application/therapeutic-devices/</t>
        </is>
      </c>
      <c r="I174" t="inlineStr">
        <is>
          <t>selvaraj.n@hildmedical.com</t>
        </is>
      </c>
      <c r="L174" t="inlineStr">
        <is>
          <t>Stated</t>
        </is>
      </c>
      <c r="M174" t="inlineStr"/>
      <c r="N174" t="inlineStr">
        <is>
          <t>TUV</t>
        </is>
      </c>
      <c r="O174" t="inlineStr">
        <is>
          <t>https://www.medzell.net/company/hild-defense-and-aerospace-pvt-ltd-hild-medical/</t>
        </is>
      </c>
      <c r="Q174" t="n">
        <v>10</v>
      </c>
      <c r="R174">
        <f>IF(Q174="","",IF(Q174&gt;=60,"HIGH",IF(Q174&gt;=30,"MEDIUM","LOW")))</f>
        <v/>
      </c>
      <c r="S174" t="inlineStr">
        <is>
          <t>New</t>
        </is>
      </c>
      <c r="T174" t="inlineStr">
        <is>
          <t>2026-03-05</t>
        </is>
      </c>
      <c r="U174" t="inlineStr">
        <is>
          <t>Seed=Medzell; Seed-file: output/medzell_company_urls.txt</t>
        </is>
      </c>
    </row>
    <row r="175">
      <c r="A175" t="n">
        <v>174</v>
      </c>
      <c r="B175" t="inlineStr">
        <is>
          <t>Discover the Future of Medical Technology with Hindustan Meditech: Leading Manufacturer of Cutting-Edge Healthcare Solutions</t>
        </is>
      </c>
      <c r="C175" t="inlineStr"/>
      <c r="D175" t="inlineStr">
        <is>
          <t>Manufacturer</t>
        </is>
      </c>
      <c r="E175" t="inlineStr">
        <is>
          <t>PPE</t>
        </is>
      </c>
      <c r="F175" t="inlineStr">
        <is>
          <t>Wound Care, Lab Consumables, Syringes &amp; Needles, IV Infusion Sets, Gauze &amp; Bandages, Disinfectants, IV Cannulas, Catheters</t>
        </is>
      </c>
      <c r="G175" t="inlineStr"/>
      <c r="H175" t="inlineStr">
        <is>
          <t>https://www.medzell.net/main-categories-application/therapeutic-devices/</t>
        </is>
      </c>
      <c r="I175" t="inlineStr">
        <is>
          <t>krunal.hindustanmeditech@gmail.com</t>
        </is>
      </c>
      <c r="L175" t="inlineStr"/>
      <c r="M175" t="inlineStr"/>
      <c r="N175" t="inlineStr">
        <is>
          <t>TUV</t>
        </is>
      </c>
      <c r="O175" t="inlineStr">
        <is>
          <t>https://www.medzell.net/company/hindustan-meditech/</t>
        </is>
      </c>
      <c r="Q175" t="n">
        <v>45</v>
      </c>
      <c r="R175">
        <f>IF(Q175="","",IF(Q175&gt;=60,"HIGH",IF(Q175&gt;=30,"MEDIUM","LOW")))</f>
        <v/>
      </c>
      <c r="S175" t="inlineStr">
        <is>
          <t>New</t>
        </is>
      </c>
      <c r="T175" t="inlineStr">
        <is>
          <t>2026-03-05</t>
        </is>
      </c>
      <c r="U175" t="inlineStr">
        <is>
          <t>Seed=Medzell; Seed-file: output/medzell_company_urls.txt</t>
        </is>
      </c>
    </row>
    <row r="176">
      <c r="A176" t="n">
        <v>175</v>
      </c>
      <c r="B176" t="inlineStr">
        <is>
          <t>HMS Medical Systems</t>
        </is>
      </c>
      <c r="C176" t="inlineStr"/>
      <c r="D176" t="inlineStr">
        <is>
          <t>Manufacturer</t>
        </is>
      </c>
      <c r="E176" t="inlineStr">
        <is>
          <t>PPE</t>
        </is>
      </c>
      <c r="F176" t="inlineStr">
        <is>
          <t>Wound Care, Lab Consumables, Syringes &amp; Needles, IV Infusion Sets, Gauze &amp; Bandages, Disinfectants, IV Cannulas, Catheters</t>
        </is>
      </c>
      <c r="G176" t="inlineStr"/>
      <c r="H176" t="inlineStr">
        <is>
          <t>https://www.medzell.net/main-categories-application/therapeutic-devices/</t>
        </is>
      </c>
      <c r="I176" t="inlineStr">
        <is>
          <t>info@hms.co.in</t>
        </is>
      </c>
      <c r="L176" t="inlineStr">
        <is>
          <t>Stated</t>
        </is>
      </c>
      <c r="M176" t="inlineStr"/>
      <c r="N176" t="inlineStr">
        <is>
          <t>TUV</t>
        </is>
      </c>
      <c r="O176" t="inlineStr">
        <is>
          <t>https://www.medzell.net/company/hms-medical-systems/</t>
        </is>
      </c>
      <c r="Q176" t="n">
        <v>10</v>
      </c>
      <c r="R176">
        <f>IF(Q176="","",IF(Q176&gt;=60,"HIGH",IF(Q176&gt;=30,"MEDIUM","LOW")))</f>
        <v/>
      </c>
      <c r="S176" t="inlineStr">
        <is>
          <t>New</t>
        </is>
      </c>
      <c r="T176" t="inlineStr">
        <is>
          <t>2026-03-05</t>
        </is>
      </c>
      <c r="U176" t="inlineStr">
        <is>
          <t>Seed=Medzell; Seed-file: output/medzell_company_urls.txt</t>
        </is>
      </c>
    </row>
    <row r="177">
      <c r="A177" t="n">
        <v>176</v>
      </c>
      <c r="B177" t="inlineStr">
        <is>
          <t>Horizon Healthcare: Leaders in Radiation Protection, and Infection Control Devices</t>
        </is>
      </c>
      <c r="C177" t="inlineStr"/>
      <c r="D177" t="inlineStr">
        <is>
          <t>Manufacturer</t>
        </is>
      </c>
      <c r="E177" t="inlineStr">
        <is>
          <t>PPE</t>
        </is>
      </c>
      <c r="F177" t="inlineStr">
        <is>
          <t>Wound Care, Lab Consumables, Syringes &amp; Needles, IV Infusion Sets, Catheters, Gauze &amp; Bandages, Disinfectants, IV Cannulas</t>
        </is>
      </c>
      <c r="G177" t="inlineStr"/>
      <c r="H177" t="inlineStr">
        <is>
          <t>https://www.medzell.net/main-categories-application/therapeutic-devices/</t>
        </is>
      </c>
      <c r="I177" t="inlineStr">
        <is>
          <t>rajni@horizonhealthcare.in</t>
        </is>
      </c>
      <c r="L177" t="inlineStr">
        <is>
          <t>Stated</t>
        </is>
      </c>
      <c r="M177" t="inlineStr"/>
      <c r="N177" t="inlineStr">
        <is>
          <t>TUV</t>
        </is>
      </c>
      <c r="O177" t="inlineStr">
        <is>
          <t>https://www.medzell.net/company/horizon-healthcare-solutions/</t>
        </is>
      </c>
      <c r="Q177" t="n">
        <v>10</v>
      </c>
      <c r="R177">
        <f>IF(Q177="","",IF(Q177&gt;=60,"HIGH",IF(Q177&gt;=30,"MEDIUM","LOW")))</f>
        <v/>
      </c>
      <c r="S177" t="inlineStr">
        <is>
          <t>New</t>
        </is>
      </c>
      <c r="T177" t="inlineStr">
        <is>
          <t>2026-03-05</t>
        </is>
      </c>
      <c r="U177" t="inlineStr">
        <is>
          <t>Seed=Medzell; Seed-file: output/medzell_company_urls.txt</t>
        </is>
      </c>
    </row>
    <row r="178">
      <c r="A178" t="n">
        <v>177</v>
      </c>
      <c r="B178" t="inlineStr">
        <is>
          <t>HOSPEDIA MEDICARE PVT. LTD. : Upgrade Your OT With Our Advanced Surgical &amp; Examination Lights</t>
        </is>
      </c>
      <c r="C178" t="inlineStr"/>
      <c r="D178" t="inlineStr">
        <is>
          <t>Manufacturer</t>
        </is>
      </c>
      <c r="E178" t="inlineStr">
        <is>
          <t>PPE</t>
        </is>
      </c>
      <c r="F178" t="inlineStr">
        <is>
          <t>Wound Care, Lab Consumables, Syringes &amp; Needles, IV Infusion Sets, Gauze &amp; Bandages, Disinfectants, IV Cannulas, Catheters</t>
        </is>
      </c>
      <c r="G178" t="inlineStr"/>
      <c r="H178" t="inlineStr">
        <is>
          <t>https://www.medzell.net/main-categories-application/therapeutic-devices/</t>
        </is>
      </c>
      <c r="I178" t="inlineStr">
        <is>
          <t>salma.fatima@hospediamedicare.com</t>
        </is>
      </c>
      <c r="L178" t="inlineStr">
        <is>
          <t>Stated</t>
        </is>
      </c>
      <c r="M178" t="inlineStr"/>
      <c r="N178" t="inlineStr">
        <is>
          <t>FDA, TUV</t>
        </is>
      </c>
      <c r="O178" t="inlineStr">
        <is>
          <t>https://www.medzell.net/company/hospedia-medicare-pvt-ltd/</t>
        </is>
      </c>
      <c r="Q178" t="n">
        <v>10</v>
      </c>
      <c r="R178">
        <f>IF(Q178="","",IF(Q178&gt;=60,"HIGH",IF(Q178&gt;=30,"MEDIUM","LOW")))</f>
        <v/>
      </c>
      <c r="S178" t="inlineStr">
        <is>
          <t>New</t>
        </is>
      </c>
      <c r="T178" t="inlineStr">
        <is>
          <t>2026-03-05</t>
        </is>
      </c>
      <c r="U178" t="inlineStr">
        <is>
          <t>Seed=Medzell; Seed-file: output/medzell_company_urls.txt</t>
        </is>
      </c>
    </row>
    <row r="179">
      <c r="A179" t="n">
        <v>178</v>
      </c>
      <c r="B179" t="inlineStr">
        <is>
          <t>High-Quality Surgical Lights for Hospitals and Healthcare Facilities | Hospi Light India</t>
        </is>
      </c>
      <c r="C179" t="inlineStr"/>
      <c r="D179" t="inlineStr">
        <is>
          <t>Manufacturer</t>
        </is>
      </c>
      <c r="E179" t="inlineStr">
        <is>
          <t>PPE</t>
        </is>
      </c>
      <c r="F179" t="inlineStr">
        <is>
          <t>Wound Care, Lab Consumables, Syringes &amp; Needles, IV Infusion Sets, Gauze &amp; Bandages, Disinfectants, IV Cannulas, Catheters</t>
        </is>
      </c>
      <c r="G179" t="inlineStr"/>
      <c r="H179" t="inlineStr">
        <is>
          <t>https://www.medzell.net/main-categories-application/therapeutic-devices/</t>
        </is>
      </c>
      <c r="I179" t="inlineStr">
        <is>
          <t>hospilights@gmail.com</t>
        </is>
      </c>
      <c r="L179" t="inlineStr"/>
      <c r="M179" t="inlineStr"/>
      <c r="N179" t="inlineStr">
        <is>
          <t>GMP, TUV</t>
        </is>
      </c>
      <c r="O179" t="inlineStr">
        <is>
          <t>https://www.medzell.net/company/hospi-light-india/</t>
        </is>
      </c>
      <c r="Q179" t="n">
        <v>45</v>
      </c>
      <c r="R179">
        <f>IF(Q179="","",IF(Q179&gt;=60,"HIGH",IF(Q179&gt;=30,"MEDIUM","LOW")))</f>
        <v/>
      </c>
      <c r="S179" t="inlineStr">
        <is>
          <t>New</t>
        </is>
      </c>
      <c r="T179" t="inlineStr">
        <is>
          <t>2026-03-05</t>
        </is>
      </c>
      <c r="U179" t="inlineStr">
        <is>
          <t>Seed=Medzell; Seed-file: output/medzell_company_urls.txt</t>
        </is>
      </c>
    </row>
    <row r="180">
      <c r="A180" t="n">
        <v>179</v>
      </c>
      <c r="B180" t="inlineStr">
        <is>
          <t>HOSPITIME INDIA: Leading Manufacturer &amp; Global Supplier of Surgical Instruments and Healthcare Essentials</t>
        </is>
      </c>
      <c r="C180" t="inlineStr"/>
      <c r="D180" t="inlineStr">
        <is>
          <t>Manufacturer</t>
        </is>
      </c>
      <c r="E180" t="inlineStr">
        <is>
          <t>PPE</t>
        </is>
      </c>
      <c r="F180" t="inlineStr">
        <is>
          <t>Wound Care, Lab Consumables, Syringes &amp; Needles, IV Infusion Sets, Gauze &amp; Bandages, Disinfectants, IV Cannulas, Catheters</t>
        </is>
      </c>
      <c r="G180" t="inlineStr"/>
      <c r="H180" t="inlineStr">
        <is>
          <t>https://www.medzell.net/main-categories-application/therapeutic-devices/</t>
        </is>
      </c>
      <c r="I180" t="inlineStr">
        <is>
          <t>hospitimeindia@gmail.com</t>
        </is>
      </c>
      <c r="L180" t="inlineStr">
        <is>
          <t>Stated</t>
        </is>
      </c>
      <c r="M180" t="inlineStr"/>
      <c r="N180" t="inlineStr">
        <is>
          <t>TUV</t>
        </is>
      </c>
      <c r="O180" t="inlineStr">
        <is>
          <t>https://www.medzell.net/company/hospitime-india/</t>
        </is>
      </c>
      <c r="Q180" t="n">
        <v>30</v>
      </c>
      <c r="R180">
        <f>IF(Q180="","",IF(Q180&gt;=60,"HIGH",IF(Q180&gt;=30,"MEDIUM","LOW")))</f>
        <v/>
      </c>
      <c r="S180" t="inlineStr">
        <is>
          <t>New</t>
        </is>
      </c>
      <c r="T180" t="inlineStr">
        <is>
          <t>2026-03-05</t>
        </is>
      </c>
      <c r="U180" t="inlineStr">
        <is>
          <t>Seed=Medzell; Seed-file: output/medzell_company_urls.txt</t>
        </is>
      </c>
    </row>
    <row r="181">
      <c r="A181" t="n">
        <v>180</v>
      </c>
      <c r="B181" t="inlineStr">
        <is>
          <t>Hunan Endovascular Devices Co., Ltd. | Innovating Healthcare with Advanced Medical Solutions</t>
        </is>
      </c>
      <c r="C181" t="inlineStr"/>
      <c r="D181" t="inlineStr">
        <is>
          <t>Manufacturer</t>
        </is>
      </c>
      <c r="E181" t="inlineStr">
        <is>
          <t>PPE</t>
        </is>
      </c>
      <c r="F181" t="inlineStr">
        <is>
          <t>Wound Care, Lab Consumables, Syringes &amp; Needles, IV Infusion Sets, Catheters, Gauze &amp; Bandages, Disinfectants, IV Cannulas</t>
        </is>
      </c>
      <c r="G181" t="inlineStr"/>
      <c r="H181" t="inlineStr">
        <is>
          <t>https://www.medzell.net/main-categories-application/therapeutic-devices/</t>
        </is>
      </c>
      <c r="I181" t="inlineStr">
        <is>
          <t>emma.wang@hnevd.com</t>
        </is>
      </c>
      <c r="L181" t="inlineStr">
        <is>
          <t>Stated</t>
        </is>
      </c>
      <c r="M181" t="inlineStr"/>
      <c r="N181" t="inlineStr">
        <is>
          <t>TUV</t>
        </is>
      </c>
      <c r="O181" t="inlineStr">
        <is>
          <t>https://www.medzell.net/company/hunan-endovascular-devices-co-ltd/</t>
        </is>
      </c>
      <c r="Q181" t="n">
        <v>10</v>
      </c>
      <c r="R181">
        <f>IF(Q181="","",IF(Q181&gt;=60,"HIGH",IF(Q181&gt;=30,"MEDIUM","LOW")))</f>
        <v/>
      </c>
      <c r="S181" t="inlineStr">
        <is>
          <t>New</t>
        </is>
      </c>
      <c r="T181" t="inlineStr">
        <is>
          <t>2026-03-05</t>
        </is>
      </c>
      <c r="U181" t="inlineStr">
        <is>
          <t>Seed=Medzell; Seed-file: output/medzell_company_urls.txt</t>
        </is>
      </c>
    </row>
    <row r="182">
      <c r="A182" t="n">
        <v>181</v>
      </c>
      <c r="B182" t="inlineStr">
        <is>
          <t>Hunan Honymed Co., Ltd. - Minimally Invasive Medical and Surgical Peripherals Manufacturer</t>
        </is>
      </c>
      <c r="C182" t="inlineStr"/>
      <c r="D182" t="inlineStr">
        <is>
          <t>Manufacturer</t>
        </is>
      </c>
      <c r="E182" t="inlineStr">
        <is>
          <t>PPE</t>
        </is>
      </c>
      <c r="F182" t="inlineStr">
        <is>
          <t>Wound Care, Lab Consumables, Syringes &amp; Needles, IV Infusion Sets, Catheters, Gauze &amp; Bandages, Disinfectants, IV Cannulas</t>
        </is>
      </c>
      <c r="G182" t="inlineStr"/>
      <c r="H182" t="inlineStr">
        <is>
          <t>https://www.medzell.net/main-categories-application/therapeutic-devices/</t>
        </is>
      </c>
      <c r="I182" t="inlineStr">
        <is>
          <t>penny@honymd.com</t>
        </is>
      </c>
      <c r="L182" t="inlineStr"/>
      <c r="M182" t="inlineStr"/>
      <c r="N182" t="inlineStr">
        <is>
          <t>TUV</t>
        </is>
      </c>
      <c r="O182" t="inlineStr">
        <is>
          <t>https://www.medzell.net/company/hunan-honymed-coltd/</t>
        </is>
      </c>
      <c r="Q182" t="n">
        <v>25</v>
      </c>
      <c r="R182">
        <f>IF(Q182="","",IF(Q182&gt;=60,"HIGH",IF(Q182&gt;=30,"MEDIUM","LOW")))</f>
        <v/>
      </c>
      <c r="S182" t="inlineStr">
        <is>
          <t>New</t>
        </is>
      </c>
      <c r="T182" t="inlineStr">
        <is>
          <t>2026-03-05</t>
        </is>
      </c>
      <c r="U182" t="inlineStr">
        <is>
          <t>Seed=Medzell; Seed-file: output/medzell_company_urls.txt</t>
        </is>
      </c>
    </row>
    <row r="183">
      <c r="A183" t="n">
        <v>182</v>
      </c>
      <c r="B183" t="inlineStr">
        <is>
          <t>Hzymes Biotechnology Co., Ltd.: Leading Manufacturer of IVD Raw Materials and Biomedicine Solutions</t>
        </is>
      </c>
      <c r="C183" t="inlineStr"/>
      <c r="D183" t="inlineStr">
        <is>
          <t>Manufacturer</t>
        </is>
      </c>
      <c r="E183" t="inlineStr">
        <is>
          <t>PPE</t>
        </is>
      </c>
      <c r="F183" t="inlineStr">
        <is>
          <t>Wound Care, Lab Consumables, Syringes &amp; Needles, IV Infusion Sets, Gauze &amp; Bandages, Disinfectants, IV Cannulas, Catheters</t>
        </is>
      </c>
      <c r="G183" t="inlineStr"/>
      <c r="H183" t="inlineStr">
        <is>
          <t>https://www.medzell.net/main-categories-application/therapeutic-devices/</t>
        </is>
      </c>
      <c r="I183" t="inlineStr">
        <is>
          <t>hzymesbio@gmail.com</t>
        </is>
      </c>
      <c r="L183" t="inlineStr"/>
      <c r="M183" t="inlineStr"/>
      <c r="N183" t="inlineStr">
        <is>
          <t>TUV</t>
        </is>
      </c>
      <c r="O183" t="inlineStr">
        <is>
          <t>https://www.medzell.net/company/hzymes-biotech/</t>
        </is>
      </c>
      <c r="Q183" t="n">
        <v>45</v>
      </c>
      <c r="R183">
        <f>IF(Q183="","",IF(Q183&gt;=60,"HIGH",IF(Q183&gt;=30,"MEDIUM","LOW")))</f>
        <v/>
      </c>
      <c r="S183" t="inlineStr">
        <is>
          <t>New</t>
        </is>
      </c>
      <c r="T183" t="inlineStr">
        <is>
          <t>2026-03-05</t>
        </is>
      </c>
      <c r="U183" t="inlineStr">
        <is>
          <t>Seed=Medzell; Seed-file: output/medzell_company_urls.txt</t>
        </is>
      </c>
    </row>
    <row r="184">
      <c r="A184" t="n">
        <v>183</v>
      </c>
      <c r="B184" t="inlineStr">
        <is>
          <t>Iatome Electric: Leading Manufacturer of ALERIO Brand of X-Ray Machines</t>
        </is>
      </c>
      <c r="C184" t="inlineStr"/>
      <c r="D184" t="inlineStr">
        <is>
          <t>Manufacturer</t>
        </is>
      </c>
      <c r="E184" t="inlineStr">
        <is>
          <t>PPE</t>
        </is>
      </c>
      <c r="F184" t="inlineStr">
        <is>
          <t>Wound Care, Lab Consumables, Syringes &amp; Needles, IV Infusion Sets, Gauze &amp; Bandages, Disinfectants, IV Cannulas, Catheters</t>
        </is>
      </c>
      <c r="G184" t="inlineStr"/>
      <c r="H184" t="inlineStr">
        <is>
          <t>https://www.medzell.net/main-categories-application/therapeutic-devices/</t>
        </is>
      </c>
      <c r="I184" t="inlineStr">
        <is>
          <t>saravana.kumar@alerio.in</t>
        </is>
      </c>
      <c r="L184" t="inlineStr">
        <is>
          <t>Stated</t>
        </is>
      </c>
      <c r="M184" t="inlineStr">
        <is>
          <t>Stated</t>
        </is>
      </c>
      <c r="N184" t="inlineStr">
        <is>
          <t>TUV</t>
        </is>
      </c>
      <c r="O184" t="inlineStr">
        <is>
          <t>https://www.medzell.net/company/iatome-electric-i-pvt-ltd/</t>
        </is>
      </c>
      <c r="Q184" t="n">
        <v>0</v>
      </c>
      <c r="R184">
        <f>IF(Q184="","",IF(Q184&gt;=60,"HIGH",IF(Q184&gt;=30,"MEDIUM","LOW")))</f>
        <v/>
      </c>
      <c r="S184" t="inlineStr">
        <is>
          <t>New</t>
        </is>
      </c>
      <c r="T184" t="inlineStr">
        <is>
          <t>2026-03-05</t>
        </is>
      </c>
      <c r="U184" t="inlineStr">
        <is>
          <t>Seed=Medzell; Seed-file: output/medzell_company_urls.txt</t>
        </is>
      </c>
    </row>
    <row r="185">
      <c r="A185" t="n">
        <v>184</v>
      </c>
      <c r="B185" t="inlineStr">
        <is>
          <t>Ibis Medical Equipment: Leading Manufacturer &amp; Exporter of NICU Medical Devices</t>
        </is>
      </c>
      <c r="C185" t="inlineStr"/>
      <c r="D185" t="inlineStr">
        <is>
          <t>Manufacturer</t>
        </is>
      </c>
      <c r="E185" t="inlineStr">
        <is>
          <t>PPE</t>
        </is>
      </c>
      <c r="F185" t="inlineStr">
        <is>
          <t>Wound Care, Lab Consumables, Syringes &amp; Needles, IV Infusion Sets, Gauze &amp; Bandages, Disinfectants, IV Cannulas, Catheters</t>
        </is>
      </c>
      <c r="G185" t="inlineStr"/>
      <c r="H185" t="inlineStr">
        <is>
          <t>https://www.medzell.net/main-categories-application/therapeutic-devices/</t>
        </is>
      </c>
      <c r="I185" t="inlineStr">
        <is>
          <t>dilit@ibismedical.net</t>
        </is>
      </c>
      <c r="L185" t="inlineStr">
        <is>
          <t>Stated</t>
        </is>
      </c>
      <c r="M185" t="inlineStr"/>
      <c r="N185" t="inlineStr">
        <is>
          <t>TUV</t>
        </is>
      </c>
      <c r="O185" t="inlineStr">
        <is>
          <t>https://www.medzell.net/company/ibis-medical-equipment-and-systems-private-limited/</t>
        </is>
      </c>
      <c r="Q185" t="n">
        <v>10</v>
      </c>
      <c r="R185">
        <f>IF(Q185="","",IF(Q185&gt;=60,"HIGH",IF(Q185&gt;=30,"MEDIUM","LOW")))</f>
        <v/>
      </c>
      <c r="S185" t="inlineStr">
        <is>
          <t>New</t>
        </is>
      </c>
      <c r="T185" t="inlineStr">
        <is>
          <t>2026-03-05</t>
        </is>
      </c>
      <c r="U185" t="inlineStr">
        <is>
          <t>Seed=Medzell; Seed-file: output/medzell_company_urls.txt</t>
        </is>
      </c>
    </row>
    <row r="186">
      <c r="A186" t="n">
        <v>185</v>
      </c>
      <c r="B186" t="inlineStr">
        <is>
          <t>ICT Health | Empowering Healthcare with Smarter Technology Solutions for Better Outcomes</t>
        </is>
      </c>
      <c r="C186" t="inlineStr"/>
      <c r="D186" t="inlineStr">
        <is>
          <t>Manufacturer</t>
        </is>
      </c>
      <c r="E186" t="inlineStr">
        <is>
          <t>PPE</t>
        </is>
      </c>
      <c r="F186" t="inlineStr">
        <is>
          <t>Wound Care, Lab Consumables, Syringes &amp; Needles, IV Infusion Sets, Gauze &amp; Bandages, Disinfectants, IV Cannulas, Catheters</t>
        </is>
      </c>
      <c r="G186" t="inlineStr"/>
      <c r="H186" t="inlineStr">
        <is>
          <t>https://www.medzell.net/main-categories-application/therapeutic-devices/</t>
        </is>
      </c>
      <c r="I186" t="inlineStr">
        <is>
          <t>munira.safri@icthealth.com</t>
        </is>
      </c>
      <c r="L186" t="inlineStr"/>
      <c r="M186" t="inlineStr"/>
      <c r="N186" t="inlineStr">
        <is>
          <t>TUV</t>
        </is>
      </c>
      <c r="O186" t="inlineStr">
        <is>
          <t>https://www.medzell.net/company/ict-health-technology-services-india-pvt-ltd/</t>
        </is>
      </c>
      <c r="Q186" t="n">
        <v>25</v>
      </c>
      <c r="R186">
        <f>IF(Q186="","",IF(Q186&gt;=60,"HIGH",IF(Q186&gt;=30,"MEDIUM","LOW")))</f>
        <v/>
      </c>
      <c r="S186" t="inlineStr">
        <is>
          <t>New</t>
        </is>
      </c>
      <c r="T186" t="inlineStr">
        <is>
          <t>2026-03-05</t>
        </is>
      </c>
      <c r="U186" t="inlineStr">
        <is>
          <t>Seed=Medzell; Seed-file: output/medzell_company_urls.txt</t>
        </is>
      </c>
    </row>
    <row r="187">
      <c r="A187" t="n">
        <v>186</v>
      </c>
      <c r="B187" t="inlineStr">
        <is>
          <t>High-Quality Laboratory Equipment Manufacturer - iGene Labserve Pvt. Ltd.</t>
        </is>
      </c>
      <c r="C187" t="inlineStr"/>
      <c r="D187" t="inlineStr">
        <is>
          <t>Manufacturer</t>
        </is>
      </c>
      <c r="E187" t="inlineStr">
        <is>
          <t>PPE</t>
        </is>
      </c>
      <c r="F187" t="inlineStr">
        <is>
          <t>Wound Care, Lab Consumables, Syringes &amp; Needles, IV Infusion Sets, Gauze &amp; Bandages, Disinfectants, IV Cannulas, Catheters</t>
        </is>
      </c>
      <c r="G187" t="inlineStr"/>
      <c r="H187" t="inlineStr">
        <is>
          <t>https://www.medzell.net/main-categories-application/therapeutic-devices/</t>
        </is>
      </c>
      <c r="I187" t="inlineStr">
        <is>
          <t>west.zone@igenels.com</t>
        </is>
      </c>
      <c r="L187" t="inlineStr">
        <is>
          <t>Stated</t>
        </is>
      </c>
      <c r="M187" t="inlineStr"/>
      <c r="N187" t="inlineStr">
        <is>
          <t>GMP, TUV</t>
        </is>
      </c>
      <c r="O187" t="inlineStr">
        <is>
          <t>https://www.medzell.net/company/igene-labserve/</t>
        </is>
      </c>
      <c r="Q187" t="n">
        <v>10</v>
      </c>
      <c r="R187">
        <f>IF(Q187="","",IF(Q187&gt;=60,"HIGH",IF(Q187&gt;=30,"MEDIUM","LOW")))</f>
        <v/>
      </c>
      <c r="S187" t="inlineStr">
        <is>
          <t>New</t>
        </is>
      </c>
      <c r="T187" t="inlineStr">
        <is>
          <t>2026-03-05</t>
        </is>
      </c>
      <c r="U187" t="inlineStr">
        <is>
          <t>Seed=Medzell; Seed-file: output/medzell_company_urls.txt</t>
        </is>
      </c>
    </row>
    <row r="188">
      <c r="A188" t="n">
        <v>187</v>
      </c>
      <c r="B188" t="inlineStr">
        <is>
          <t>iLife Medical Devices Pvt Ltd: Pioneering Medical Solutions with State-of-the-Art Tool Room and Premier IV Cannula Manufacturing</t>
        </is>
      </c>
      <c r="C188" t="inlineStr"/>
      <c r="D188" t="inlineStr">
        <is>
          <t>Manufacturer</t>
        </is>
      </c>
      <c r="E188" t="inlineStr">
        <is>
          <t>PPE</t>
        </is>
      </c>
      <c r="F188" t="inlineStr">
        <is>
          <t>Wound Care, IV Infusion Sets, Lab Consumables, Syringes &amp; Needles, IV Cannulas, Gauze &amp; Bandages, Disinfectants, Catheters</t>
        </is>
      </c>
      <c r="G188" t="inlineStr"/>
      <c r="H188" t="inlineStr">
        <is>
          <t>https://www.medzell.net/main-categories-application/therapeutic-devices/</t>
        </is>
      </c>
      <c r="I188" t="inlineStr">
        <is>
          <t>mail@ilifemedica.com</t>
        </is>
      </c>
      <c r="L188" t="inlineStr">
        <is>
          <t>Stated</t>
        </is>
      </c>
      <c r="M188" t="inlineStr"/>
      <c r="N188" t="inlineStr">
        <is>
          <t>TUV</t>
        </is>
      </c>
      <c r="O188" t="inlineStr">
        <is>
          <t>https://www.medzell.net/company/ilife-medical-devices-pvt-ltd-india/</t>
        </is>
      </c>
      <c r="Q188" t="n">
        <v>10</v>
      </c>
      <c r="R188">
        <f>IF(Q188="","",IF(Q188&gt;=60,"HIGH",IF(Q188&gt;=30,"MEDIUM","LOW")))</f>
        <v/>
      </c>
      <c r="S188" t="inlineStr">
        <is>
          <t>New</t>
        </is>
      </c>
      <c r="T188" t="inlineStr">
        <is>
          <t>2026-03-05</t>
        </is>
      </c>
      <c r="U188" t="inlineStr">
        <is>
          <t>Seed=Medzell; Seed-file: output/medzell_company_urls.txt</t>
        </is>
      </c>
    </row>
    <row r="189">
      <c r="A189" t="n">
        <v>188</v>
      </c>
      <c r="B189" t="inlineStr">
        <is>
          <t>IMAEC Limited: Quality Bedding, Medical Supplies &amp; Disinfectants</t>
        </is>
      </c>
      <c r="C189" t="inlineStr"/>
      <c r="D189" t="inlineStr">
        <is>
          <t>Manufacturer</t>
        </is>
      </c>
      <c r="E189" t="inlineStr">
        <is>
          <t>PPE</t>
        </is>
      </c>
      <c r="F189" t="inlineStr">
        <is>
          <t>Wound Care, Lab Consumables, Syringes &amp; Needles, IV Infusion Sets, Gauze &amp; Bandages, Disinfectants, IV Cannulas, Catheters</t>
        </is>
      </c>
      <c r="G189" t="inlineStr"/>
      <c r="H189" t="inlineStr">
        <is>
          <t>https://www.medzell.net/main-categories-application/therapeutic-devices/</t>
        </is>
      </c>
      <c r="I189" t="inlineStr">
        <is>
          <t>dgmexport@imaecmedntek.com</t>
        </is>
      </c>
      <c r="L189" t="inlineStr">
        <is>
          <t>Stated</t>
        </is>
      </c>
      <c r="M189" t="inlineStr"/>
      <c r="N189" t="inlineStr">
        <is>
          <t>GMP, TUV</t>
        </is>
      </c>
      <c r="O189" t="inlineStr">
        <is>
          <t>https://www.medzell.net/company/imaec-limited/</t>
        </is>
      </c>
      <c r="Q189" t="n">
        <v>10</v>
      </c>
      <c r="R189">
        <f>IF(Q189="","",IF(Q189&gt;=60,"HIGH",IF(Q189&gt;=30,"MEDIUM","LOW")))</f>
        <v/>
      </c>
      <c r="S189" t="inlineStr">
        <is>
          <t>New</t>
        </is>
      </c>
      <c r="T189" t="inlineStr">
        <is>
          <t>2026-03-05</t>
        </is>
      </c>
      <c r="U189" t="inlineStr">
        <is>
          <t>Seed=Medzell; Seed-file: output/medzell_company_urls.txt</t>
        </is>
      </c>
    </row>
    <row r="190">
      <c r="A190" t="n">
        <v>189</v>
      </c>
      <c r="B190" t="inlineStr">
        <is>
          <t>Top-Notch Medical Equipment and Furniture | Indtech Healthcare Pvt. Ltd.</t>
        </is>
      </c>
      <c r="C190" t="inlineStr"/>
      <c r="D190" t="inlineStr">
        <is>
          <t>Manufacturer</t>
        </is>
      </c>
      <c r="E190" t="inlineStr">
        <is>
          <t>PPE</t>
        </is>
      </c>
      <c r="F190" t="inlineStr">
        <is>
          <t>Wound Care, Lab Consumables, Syringes &amp; Needles, IV Infusion Sets, Gauze &amp; Bandages, Disinfectants, IV Cannulas, Catheters</t>
        </is>
      </c>
      <c r="G190" t="inlineStr"/>
      <c r="H190" t="inlineStr">
        <is>
          <t>https://www.medzell.net/main-categories-application/therapeutic-devices/</t>
        </is>
      </c>
      <c r="I190" t="inlineStr">
        <is>
          <t>info@indtechhc.com</t>
        </is>
      </c>
      <c r="L190" t="inlineStr"/>
      <c r="M190" t="inlineStr"/>
      <c r="N190" t="inlineStr">
        <is>
          <t>TUV</t>
        </is>
      </c>
      <c r="O190" t="inlineStr">
        <is>
          <t>https://www.medzell.net/company/indtech-healthcare-pvt-ltd/</t>
        </is>
      </c>
      <c r="Q190" t="n">
        <v>25</v>
      </c>
      <c r="R190">
        <f>IF(Q190="","",IF(Q190&gt;=60,"HIGH",IF(Q190&gt;=30,"MEDIUM","LOW")))</f>
        <v/>
      </c>
      <c r="S190" t="inlineStr">
        <is>
          <t>New</t>
        </is>
      </c>
      <c r="T190" t="inlineStr">
        <is>
          <t>2026-03-05</t>
        </is>
      </c>
      <c r="U190" t="inlineStr">
        <is>
          <t>Seed=Medzell; Seed-file: output/medzell_company_urls.txt</t>
        </is>
      </c>
    </row>
    <row r="191">
      <c r="A191" t="n">
        <v>190</v>
      </c>
      <c r="B191" t="inlineStr">
        <is>
          <t>Infinium Healthcare: Advanced Healthcare Disinfectant Solutions Provider</t>
        </is>
      </c>
      <c r="C191" t="inlineStr"/>
      <c r="D191" t="inlineStr">
        <is>
          <t>Manufacturer</t>
        </is>
      </c>
      <c r="E191" t="inlineStr">
        <is>
          <t>PPE</t>
        </is>
      </c>
      <c r="F191" t="inlineStr">
        <is>
          <t>Wound Care, Disinfectants, Lab Consumables, Syringes &amp; Needles, IV Infusion Sets, Gauze &amp; Bandages, IV Cannulas, Catheters</t>
        </is>
      </c>
      <c r="G191" t="inlineStr"/>
      <c r="H191" t="inlineStr">
        <is>
          <t>https://www.medzell.net/main-categories-application/therapeutic-devices/</t>
        </is>
      </c>
      <c r="I191" t="inlineStr">
        <is>
          <t>export2@infiniumcare.com</t>
        </is>
      </c>
      <c r="L191" t="inlineStr"/>
      <c r="M191" t="inlineStr"/>
      <c r="N191" t="inlineStr">
        <is>
          <t>GMP, TUV</t>
        </is>
      </c>
      <c r="O191" t="inlineStr">
        <is>
          <t>https://www.medzell.net/company/infinium-healthcare-pvt-ltd/</t>
        </is>
      </c>
      <c r="Q191" t="n">
        <v>25</v>
      </c>
      <c r="R191">
        <f>IF(Q191="","",IF(Q191&gt;=60,"HIGH",IF(Q191&gt;=30,"MEDIUM","LOW")))</f>
        <v/>
      </c>
      <c r="S191" t="inlineStr">
        <is>
          <t>New</t>
        </is>
      </c>
      <c r="T191" t="inlineStr">
        <is>
          <t>2026-03-05</t>
        </is>
      </c>
      <c r="U191" t="inlineStr">
        <is>
          <t>Seed=Medzell; Seed-file: output/medzell_company_urls.txt</t>
        </is>
      </c>
    </row>
    <row r="192">
      <c r="A192" t="n">
        <v>191</v>
      </c>
      <c r="B192" t="inlineStr">
        <is>
          <t>Infitek Co., Ltd.: Leading Manufacturer of Laboratory and Medical Equipment</t>
        </is>
      </c>
      <c r="C192" t="inlineStr"/>
      <c r="D192" t="inlineStr">
        <is>
          <t>Manufacturer</t>
        </is>
      </c>
      <c r="E192" t="inlineStr">
        <is>
          <t>PPE</t>
        </is>
      </c>
      <c r="F192" t="inlineStr">
        <is>
          <t>Wound Care, Lab Consumables, Syringes &amp; Needles, IV Infusion Sets, Gauze &amp; Bandages, Disinfectants, IV Cannulas, Catheters</t>
        </is>
      </c>
      <c r="G192" t="inlineStr"/>
      <c r="H192" t="inlineStr">
        <is>
          <t>https://www.medzell.net/main-categories-application/therapeutic-devices/</t>
        </is>
      </c>
      <c r="I192" t="inlineStr">
        <is>
          <t>alisazhang@infitek.com</t>
        </is>
      </c>
      <c r="L192" t="inlineStr">
        <is>
          <t>Stated</t>
        </is>
      </c>
      <c r="M192" t="inlineStr"/>
      <c r="N192" t="inlineStr">
        <is>
          <t>FDA, TUV</t>
        </is>
      </c>
      <c r="O192" t="inlineStr">
        <is>
          <t>https://www.medzell.net/company/infitek-co-ltd/</t>
        </is>
      </c>
      <c r="Q192" t="n">
        <v>10</v>
      </c>
      <c r="R192">
        <f>IF(Q192="","",IF(Q192&gt;=60,"HIGH",IF(Q192&gt;=30,"MEDIUM","LOW")))</f>
        <v/>
      </c>
      <c r="S192" t="inlineStr">
        <is>
          <t>New</t>
        </is>
      </c>
      <c r="T192" t="inlineStr">
        <is>
          <t>2026-03-05</t>
        </is>
      </c>
      <c r="U192" t="inlineStr">
        <is>
          <t>Seed=Medzell; Seed-file: output/medzell_company_urls.txt</t>
        </is>
      </c>
    </row>
    <row r="193">
      <c r="A193" t="n">
        <v>192</v>
      </c>
      <c r="B193" t="inlineStr">
        <is>
          <t>InnAccel Technologies Pvt. Ltd.: Innovative and Reliable Medical Devices for Various Medical Applications</t>
        </is>
      </c>
      <c r="C193" t="inlineStr"/>
      <c r="D193" t="inlineStr">
        <is>
          <t>Manufacturer</t>
        </is>
      </c>
      <c r="E193" t="inlineStr">
        <is>
          <t>PPE</t>
        </is>
      </c>
      <c r="F193" t="inlineStr">
        <is>
          <t>Wound Care, Lab Consumables, Syringes &amp; Needles, IV Infusion Sets, Gauze &amp; Bandages, Disinfectants, IV Cannulas, Catheters</t>
        </is>
      </c>
      <c r="G193" t="inlineStr"/>
      <c r="H193" t="inlineStr">
        <is>
          <t>https://www.medzell.net/main-categories-application/therapeutic-devices/</t>
        </is>
      </c>
      <c r="I193" t="inlineStr">
        <is>
          <t>gehna@innaccel.com</t>
        </is>
      </c>
      <c r="L193" t="inlineStr">
        <is>
          <t>Stated</t>
        </is>
      </c>
      <c r="M193" t="inlineStr"/>
      <c r="N193" t="inlineStr">
        <is>
          <t>TUV</t>
        </is>
      </c>
      <c r="O193" t="inlineStr">
        <is>
          <t>https://www.medzell.net/company/innaccel-technologies/</t>
        </is>
      </c>
      <c r="Q193" t="n">
        <v>10</v>
      </c>
      <c r="R193">
        <f>IF(Q193="","",IF(Q193&gt;=60,"HIGH",IF(Q193&gt;=30,"MEDIUM","LOW")))</f>
        <v/>
      </c>
      <c r="S193" t="inlineStr">
        <is>
          <t>New</t>
        </is>
      </c>
      <c r="T193" t="inlineStr">
        <is>
          <t>2026-03-05</t>
        </is>
      </c>
      <c r="U193" t="inlineStr">
        <is>
          <t>Seed=Medzell; Seed-file: output/medzell_company_urls.txt</t>
        </is>
      </c>
    </row>
    <row r="194">
      <c r="A194" t="n">
        <v>193</v>
      </c>
      <c r="B194" t="inlineStr">
        <is>
          <t>Cutting-Edge Voice Restoration Solutions | Innaumation Medical Devices</t>
        </is>
      </c>
      <c r="C194" t="inlineStr"/>
      <c r="D194" t="inlineStr">
        <is>
          <t>Manufacturer</t>
        </is>
      </c>
      <c r="E194" t="inlineStr">
        <is>
          <t>PPE</t>
        </is>
      </c>
      <c r="F194" t="inlineStr">
        <is>
          <t>Wound Care, Lab Consumables, Syringes &amp; Needles, IV Infusion Sets, Gauze &amp; Bandages, Disinfectants, IV Cannulas, Catheters</t>
        </is>
      </c>
      <c r="G194" t="inlineStr"/>
      <c r="H194" t="inlineStr">
        <is>
          <t>https://www.medzell.net/main-categories-application/therapeutic-devices/</t>
        </is>
      </c>
      <c r="I194" t="inlineStr">
        <is>
          <t>irfan@innaumation.com</t>
        </is>
      </c>
      <c r="L194" t="inlineStr"/>
      <c r="M194" t="inlineStr"/>
      <c r="N194" t="inlineStr">
        <is>
          <t>TUV</t>
        </is>
      </c>
      <c r="O194" t="inlineStr">
        <is>
          <t>https://www.medzell.net/company/innaumation-medical-devices-private-limited/</t>
        </is>
      </c>
      <c r="Q194" t="n">
        <v>25</v>
      </c>
      <c r="R194">
        <f>IF(Q194="","",IF(Q194&gt;=60,"HIGH",IF(Q194&gt;=30,"MEDIUM","LOW")))</f>
        <v/>
      </c>
      <c r="S194" t="inlineStr">
        <is>
          <t>New</t>
        </is>
      </c>
      <c r="T194" t="inlineStr">
        <is>
          <t>2026-03-05</t>
        </is>
      </c>
      <c r="U194" t="inlineStr">
        <is>
          <t>Seed=Medzell; Seed-file: output/medzell_company_urls.txt</t>
        </is>
      </c>
    </row>
    <row r="195">
      <c r="A195" t="n">
        <v>194</v>
      </c>
      <c r="B195" t="inlineStr">
        <is>
          <t>Innovation Meditech: High-Quality Medical Devices &amp; Equipment Worldwide</t>
        </is>
      </c>
      <c r="C195" t="inlineStr"/>
      <c r="D195" t="inlineStr">
        <is>
          <t>Manufacturer</t>
        </is>
      </c>
      <c r="E195" t="inlineStr">
        <is>
          <t>PPE</t>
        </is>
      </c>
      <c r="F195" t="inlineStr">
        <is>
          <t>Wound Care, Lab Consumables, Syringes &amp; Needles, IV Infusion Sets, Gauze &amp; Bandages, Disinfectants, IV Cannulas, Catheters</t>
        </is>
      </c>
      <c r="G195" t="inlineStr"/>
      <c r="H195" t="inlineStr">
        <is>
          <t>https://www.medzell.net/main-categories-application/therapeutic-devices/</t>
        </is>
      </c>
      <c r="I195" t="inlineStr">
        <is>
          <t>aryan.agarwal@vertexmedical.in</t>
        </is>
      </c>
      <c r="L195" t="inlineStr">
        <is>
          <t>Stated</t>
        </is>
      </c>
      <c r="M195" t="inlineStr"/>
      <c r="N195" t="inlineStr">
        <is>
          <t>TUV</t>
        </is>
      </c>
      <c r="O195" t="inlineStr">
        <is>
          <t>https://www.medzell.net/company/innovation-meditech-p-ltd/</t>
        </is>
      </c>
      <c r="Q195" t="n">
        <v>10</v>
      </c>
      <c r="R195">
        <f>IF(Q195="","",IF(Q195&gt;=60,"HIGH",IF(Q195&gt;=30,"MEDIUM","LOW")))</f>
        <v/>
      </c>
      <c r="S195" t="inlineStr">
        <is>
          <t>New</t>
        </is>
      </c>
      <c r="T195" t="inlineStr">
        <is>
          <t>2026-03-05</t>
        </is>
      </c>
      <c r="U195" t="inlineStr">
        <is>
          <t>Seed=Medzell; Seed-file: output/medzell_company_urls.txt</t>
        </is>
      </c>
    </row>
    <row r="196">
      <c r="A196" t="n">
        <v>195</v>
      </c>
      <c r="B196" t="inlineStr">
        <is>
          <t>Innowave Healthcare: Cutting-Edge Imaging Systems, Cloud-Centric IT Solutions, and Operation Support Services</t>
        </is>
      </c>
      <c r="C196" t="inlineStr"/>
      <c r="D196" t="inlineStr">
        <is>
          <t>Manufacturer</t>
        </is>
      </c>
      <c r="E196" t="inlineStr">
        <is>
          <t>PPE</t>
        </is>
      </c>
      <c r="F196" t="inlineStr">
        <is>
          <t>Wound Care, Lab Consumables, Syringes &amp; Needles, IV Infusion Sets, Gauze &amp; Bandages, Disinfectants, IV Cannulas, Catheters</t>
        </is>
      </c>
      <c r="G196" t="inlineStr"/>
      <c r="H196" t="inlineStr">
        <is>
          <t>https://www.medzell.net/main-categories-application/therapeutic-devices/</t>
        </is>
      </c>
      <c r="I196" t="inlineStr">
        <is>
          <t>vivek@innowave.in</t>
        </is>
      </c>
      <c r="L196" t="inlineStr"/>
      <c r="M196" t="inlineStr"/>
      <c r="N196" t="inlineStr">
        <is>
          <t>TUV</t>
        </is>
      </c>
      <c r="O196" t="inlineStr">
        <is>
          <t>https://www.medzell.net/company/innowave-healthcare/</t>
        </is>
      </c>
      <c r="Q196" t="n">
        <v>25</v>
      </c>
      <c r="R196">
        <f>IF(Q196="","",IF(Q196&gt;=60,"HIGH",IF(Q196&gt;=30,"MEDIUM","LOW")))</f>
        <v/>
      </c>
      <c r="S196" t="inlineStr">
        <is>
          <t>New</t>
        </is>
      </c>
      <c r="T196" t="inlineStr">
        <is>
          <t>2026-03-05</t>
        </is>
      </c>
      <c r="U196" t="inlineStr">
        <is>
          <t>Seed=Medzell; Seed-file: output/medzell_company_urls.txt</t>
        </is>
      </c>
    </row>
    <row r="197">
      <c r="A197" t="n">
        <v>196</v>
      </c>
      <c r="B197" t="inlineStr">
        <is>
          <t>Inovenso Inc. Turkey -  Manufacturer of IPS Syringe Pumps for Precision Infusion</t>
        </is>
      </c>
      <c r="C197" t="inlineStr"/>
      <c r="D197" t="inlineStr">
        <is>
          <t>Manufacturer</t>
        </is>
      </c>
      <c r="E197" t="inlineStr">
        <is>
          <t>PPE</t>
        </is>
      </c>
      <c r="F197" t="inlineStr">
        <is>
          <t>Wound Care, Lab Consumables, Syringes &amp; Needles, IV Infusion Sets, Gauze &amp; Bandages, Disinfectants, IV Cannulas, Catheters</t>
        </is>
      </c>
      <c r="G197" t="inlineStr"/>
      <c r="H197" t="inlineStr">
        <is>
          <t>https://www.medzell.net/main-categories-application/therapeutic-devices/</t>
        </is>
      </c>
      <c r="I197" t="inlineStr">
        <is>
          <t>yasir.hammadi@inovenso.com</t>
        </is>
      </c>
      <c r="L197" t="inlineStr"/>
      <c r="M197" t="inlineStr"/>
      <c r="N197" t="inlineStr">
        <is>
          <t>TUV</t>
        </is>
      </c>
      <c r="O197" t="inlineStr">
        <is>
          <t>https://www.medzell.net/company/inovenso-inc/</t>
        </is>
      </c>
      <c r="Q197" t="n">
        <v>25</v>
      </c>
      <c r="R197">
        <f>IF(Q197="","",IF(Q197&gt;=60,"HIGH",IF(Q197&gt;=30,"MEDIUM","LOW")))</f>
        <v/>
      </c>
      <c r="S197" t="inlineStr">
        <is>
          <t>New</t>
        </is>
      </c>
      <c r="T197" t="inlineStr">
        <is>
          <t>2026-03-05</t>
        </is>
      </c>
      <c r="U197" t="inlineStr">
        <is>
          <t>Seed=Medzell; Seed-file: output/medzell_company_urls.txt</t>
        </is>
      </c>
    </row>
    <row r="198">
      <c r="A198" t="n">
        <v>197</v>
      </c>
      <c r="B198" t="inlineStr">
        <is>
          <t>INTCO Medical | Trusted Provider of High-Quality Medical Consumables, Assistive Devices and Surgical Equipments</t>
        </is>
      </c>
      <c r="C198" t="inlineStr"/>
      <c r="D198" t="inlineStr">
        <is>
          <t>Manufacturer</t>
        </is>
      </c>
      <c r="E198" t="inlineStr">
        <is>
          <t>PPE</t>
        </is>
      </c>
      <c r="F198" t="inlineStr">
        <is>
          <t>Wound Care, Lab Consumables, Syringes &amp; Needles, IV Infusion Sets, Gauze &amp; Bandages, Disinfectants, IV Cannulas, Catheters</t>
        </is>
      </c>
      <c r="G198" t="inlineStr"/>
      <c r="H198" t="inlineStr">
        <is>
          <t>https://www.medzell.net/main-categories-application/therapeutic-devices/</t>
        </is>
      </c>
      <c r="I198" t="inlineStr">
        <is>
          <t>chenshasha@intco.com</t>
        </is>
      </c>
      <c r="L198" t="inlineStr">
        <is>
          <t>Stated</t>
        </is>
      </c>
      <c r="M198" t="inlineStr"/>
      <c r="N198" t="inlineStr">
        <is>
          <t>TUV</t>
        </is>
      </c>
      <c r="O198" t="inlineStr">
        <is>
          <t>https://www.medzell.net/company/intco-medical-technology-co-ltd/</t>
        </is>
      </c>
      <c r="Q198" t="n">
        <v>10</v>
      </c>
      <c r="R198">
        <f>IF(Q198="","",IF(Q198&gt;=60,"HIGH",IF(Q198&gt;=30,"MEDIUM","LOW")))</f>
        <v/>
      </c>
      <c r="S198" t="inlineStr">
        <is>
          <t>New</t>
        </is>
      </c>
      <c r="T198" t="inlineStr">
        <is>
          <t>2026-03-05</t>
        </is>
      </c>
      <c r="U198" t="inlineStr">
        <is>
          <t>Seed=Medzell; Seed-file: output/medzell_company_urls.txt</t>
        </is>
      </c>
    </row>
    <row r="199">
      <c r="A199" t="n">
        <v>198</v>
      </c>
      <c r="B199" t="inlineStr">
        <is>
          <t>Intraaction Electronics: Leading Manufacturer of Laboratory Equipment for Research &amp; Diagnostics</t>
        </is>
      </c>
      <c r="C199" t="inlineStr"/>
      <c r="D199" t="inlineStr">
        <is>
          <t>Manufacturer</t>
        </is>
      </c>
      <c r="E199" t="inlineStr">
        <is>
          <t>PPE</t>
        </is>
      </c>
      <c r="F199" t="inlineStr">
        <is>
          <t>Wound Care, Lab Consumables, Syringes &amp; Needles, IV Infusion Sets, Gauze &amp; Bandages, Disinfectants, IV Cannulas, Catheters</t>
        </is>
      </c>
      <c r="G199" t="inlineStr"/>
      <c r="H199" t="inlineStr">
        <is>
          <t>https://www.medzell.net/main-categories-application/therapeutic-devices/</t>
        </is>
      </c>
      <c r="I199" t="inlineStr">
        <is>
          <t>info@ilabsci.com</t>
        </is>
      </c>
      <c r="L199" t="inlineStr"/>
      <c r="M199" t="inlineStr"/>
      <c r="N199" t="inlineStr">
        <is>
          <t>TUV</t>
        </is>
      </c>
      <c r="O199" t="inlineStr">
        <is>
          <t>https://www.medzell.net/company/intraaction-electronics/</t>
        </is>
      </c>
      <c r="Q199" t="n">
        <v>25</v>
      </c>
      <c r="R199">
        <f>IF(Q199="","",IF(Q199&gt;=60,"HIGH",IF(Q199&gt;=30,"MEDIUM","LOW")))</f>
        <v/>
      </c>
      <c r="S199" t="inlineStr">
        <is>
          <t>New</t>
        </is>
      </c>
      <c r="T199" t="inlineStr">
        <is>
          <t>2026-03-05</t>
        </is>
      </c>
      <c r="U199" t="inlineStr">
        <is>
          <t>Seed=Medzell; Seed-file: output/medzell_company_urls.txt</t>
        </is>
      </c>
    </row>
    <row r="200">
      <c r="A200" t="n">
        <v>199</v>
      </c>
      <c r="B200" t="inlineStr">
        <is>
          <t>IOTA Diagnostic Pvt. Ltd: Micro Sampling Devices &amp; Tissue Scaffolds Manufacturer</t>
        </is>
      </c>
      <c r="C200" t="inlineStr"/>
      <c r="D200" t="inlineStr">
        <is>
          <t>Manufacturer</t>
        </is>
      </c>
      <c r="E200" t="inlineStr">
        <is>
          <t>PPE</t>
        </is>
      </c>
      <c r="F200" t="inlineStr">
        <is>
          <t>Wound Care, Lab Consumables, Syringes &amp; Needles, IV Infusion Sets, Gauze &amp; Bandages, Disinfectants, IV Cannulas, Catheters</t>
        </is>
      </c>
      <c r="G200" t="inlineStr"/>
      <c r="H200" t="inlineStr">
        <is>
          <t>https://www.medzell.net/main-categories-application/therapeutic-devices/</t>
        </is>
      </c>
      <c r="I200" t="inlineStr">
        <is>
          <t>iotadiagnostic@gmail.com</t>
        </is>
      </c>
      <c r="L200" t="inlineStr">
        <is>
          <t>Stated</t>
        </is>
      </c>
      <c r="M200" t="inlineStr"/>
      <c r="N200" t="inlineStr">
        <is>
          <t>TUV</t>
        </is>
      </c>
      <c r="O200" t="inlineStr">
        <is>
          <t>https://www.medzell.net/company/iota-diagnostic-pvt-ltd/</t>
        </is>
      </c>
      <c r="Q200" t="n">
        <v>30</v>
      </c>
      <c r="R200">
        <f>IF(Q200="","",IF(Q200&gt;=60,"HIGH",IF(Q200&gt;=30,"MEDIUM","LOW")))</f>
        <v/>
      </c>
      <c r="S200" t="inlineStr">
        <is>
          <t>New</t>
        </is>
      </c>
      <c r="T200" t="inlineStr">
        <is>
          <t>2026-03-05</t>
        </is>
      </c>
      <c r="U200" t="inlineStr">
        <is>
          <t>Seed=Medzell; Seed-file: output/medzell_company_urls.txt</t>
        </is>
      </c>
    </row>
    <row r="201">
      <c r="A201" t="n">
        <v>200</v>
      </c>
      <c r="B201" t="inlineStr">
        <is>
          <t>Janitri - Innovating Maternal &amp; Neonatal Care with Advanced Monitoring Solutions</t>
        </is>
      </c>
      <c r="C201" t="inlineStr"/>
      <c r="D201" t="inlineStr">
        <is>
          <t>Manufacturer</t>
        </is>
      </c>
      <c r="E201" t="inlineStr">
        <is>
          <t>PPE</t>
        </is>
      </c>
      <c r="F201" t="inlineStr">
        <is>
          <t>Wound Care, Lab Consumables, Syringes &amp; Needles, IV Infusion Sets, Gauze &amp; Bandages, Disinfectants, IV Cannulas, Catheters</t>
        </is>
      </c>
      <c r="G201" t="inlineStr"/>
      <c r="H201" t="inlineStr">
        <is>
          <t>https://www.medzell.net/main-categories-application/therapeutic-devices/</t>
        </is>
      </c>
      <c r="I201" t="inlineStr">
        <is>
          <t>sales@janitri.in</t>
        </is>
      </c>
      <c r="L201" t="inlineStr">
        <is>
          <t>Stated</t>
        </is>
      </c>
      <c r="M201" t="inlineStr"/>
      <c r="N201" t="inlineStr">
        <is>
          <t>TUV</t>
        </is>
      </c>
      <c r="O201" t="inlineStr">
        <is>
          <t>https://www.medzell.net/company/janitri-innovations-private-limited/</t>
        </is>
      </c>
      <c r="Q201" t="n">
        <v>10</v>
      </c>
      <c r="R201">
        <f>IF(Q201="","",IF(Q201&gt;=60,"HIGH",IF(Q201&gt;=30,"MEDIUM","LOW")))</f>
        <v/>
      </c>
      <c r="S201" t="inlineStr">
        <is>
          <t>New</t>
        </is>
      </c>
      <c r="T201" t="inlineStr">
        <is>
          <t>2026-03-05</t>
        </is>
      </c>
      <c r="U201" t="inlineStr">
        <is>
          <t>Seed=Medzell; Seed-file: output/medzell_company_urls.txt</t>
        </is>
      </c>
    </row>
    <row r="202">
      <c r="A202" t="n">
        <v>201</v>
      </c>
      <c r="B202" t="inlineStr">
        <is>
          <t>Top-Quality Medical Products for Diverse Needs | Jayhida Medicare Pvt Ltd</t>
        </is>
      </c>
      <c r="C202" t="inlineStr"/>
      <c r="D202" t="inlineStr">
        <is>
          <t>Manufacturer</t>
        </is>
      </c>
      <c r="E202" t="inlineStr">
        <is>
          <t>PPE</t>
        </is>
      </c>
      <c r="F202" t="inlineStr">
        <is>
          <t>Wound Care, Lab Consumables, Syringes &amp; Needles, IV Infusion Sets, Gloves, Gauze &amp; Bandages, Disinfectants, IV Cannulas, Catheters</t>
        </is>
      </c>
      <c r="G202" t="inlineStr"/>
      <c r="H202" t="inlineStr">
        <is>
          <t>https://www.medzell.net/main-categories-application/therapeutic-devices/</t>
        </is>
      </c>
      <c r="I202" t="inlineStr">
        <is>
          <t>jayhidamedicare@gmail.com</t>
        </is>
      </c>
      <c r="L202" t="inlineStr"/>
      <c r="M202" t="inlineStr"/>
      <c r="N202" t="inlineStr">
        <is>
          <t>TUV</t>
        </is>
      </c>
      <c r="O202" t="inlineStr">
        <is>
          <t>https://www.medzell.net/company/jayhida-medicare-pvt-ltd/</t>
        </is>
      </c>
      <c r="Q202" t="n">
        <v>45</v>
      </c>
      <c r="R202">
        <f>IF(Q202="","",IF(Q202&gt;=60,"HIGH",IF(Q202&gt;=30,"MEDIUM","LOW")))</f>
        <v/>
      </c>
      <c r="S202" t="inlineStr">
        <is>
          <t>New</t>
        </is>
      </c>
      <c r="T202" t="inlineStr">
        <is>
          <t>2026-03-05</t>
        </is>
      </c>
      <c r="U202" t="inlineStr">
        <is>
          <t>Seed=Medzell; Seed-file: output/medzell_company_urls.txt</t>
        </is>
      </c>
    </row>
    <row r="203">
      <c r="A203" t="n">
        <v>202</v>
      </c>
      <c r="B203" t="inlineStr">
        <is>
          <t>Innovative Medical Devices by Jeevtronics: Setting Industry Standards</t>
        </is>
      </c>
      <c r="C203" t="inlineStr"/>
      <c r="D203" t="inlineStr">
        <is>
          <t>Manufacturer</t>
        </is>
      </c>
      <c r="E203" t="inlineStr">
        <is>
          <t>PPE</t>
        </is>
      </c>
      <c r="F203" t="inlineStr">
        <is>
          <t>Wound Care, Lab Consumables, Syringes &amp; Needles, IV Infusion Sets, Gauze &amp; Bandages, Disinfectants, IV Cannulas, Catheters</t>
        </is>
      </c>
      <c r="G203" t="inlineStr"/>
      <c r="H203" t="inlineStr">
        <is>
          <t>https://www.medzell.net/main-categories-application/therapeutic-devices/</t>
        </is>
      </c>
      <c r="I203" t="inlineStr">
        <is>
          <t>agawade@jeevtronics.com</t>
        </is>
      </c>
      <c r="L203" t="inlineStr">
        <is>
          <t>Stated</t>
        </is>
      </c>
      <c r="M203" t="inlineStr"/>
      <c r="N203" t="inlineStr">
        <is>
          <t>TUV</t>
        </is>
      </c>
      <c r="O203" t="inlineStr">
        <is>
          <t>https://www.medzell.net/company/jeevtronics-private-limited/</t>
        </is>
      </c>
      <c r="Q203" t="n">
        <v>10</v>
      </c>
      <c r="R203">
        <f>IF(Q203="","",IF(Q203&gt;=60,"HIGH",IF(Q203&gt;=30,"MEDIUM","LOW")))</f>
        <v/>
      </c>
      <c r="S203" t="inlineStr">
        <is>
          <t>New</t>
        </is>
      </c>
      <c r="T203" t="inlineStr">
        <is>
          <t>2026-03-05</t>
        </is>
      </c>
      <c r="U203" t="inlineStr">
        <is>
          <t>Seed=Medzell; Seed-file: output/medzell_company_urls.txt</t>
        </is>
      </c>
    </row>
    <row r="204">
      <c r="A204" t="n">
        <v>203</v>
      </c>
      <c r="B204" t="inlineStr">
        <is>
          <t>Jiangsu Suyun Medical – Global Manufacturer of Disposable Medical Devices</t>
        </is>
      </c>
      <c r="C204" t="inlineStr"/>
      <c r="D204" t="inlineStr">
        <is>
          <t>Manufacturer</t>
        </is>
      </c>
      <c r="E204" t="inlineStr">
        <is>
          <t>PPE</t>
        </is>
      </c>
      <c r="F204" t="inlineStr">
        <is>
          <t>Wound Care, IV Infusion Sets, Lab Consumables, Syringes &amp; Needles, Gauze &amp; Bandages, Disinfectants, IV Cannulas, Catheters</t>
        </is>
      </c>
      <c r="G204" t="inlineStr"/>
      <c r="H204" t="inlineStr">
        <is>
          <t>https://www.medzell.net/main-categories-application/therapeutic-devices/</t>
        </is>
      </c>
      <c r="I204" t="inlineStr">
        <is>
          <t>john@suyunmedical.com</t>
        </is>
      </c>
      <c r="L204" t="inlineStr">
        <is>
          <t>Stated</t>
        </is>
      </c>
      <c r="M204" t="inlineStr"/>
      <c r="N204" t="inlineStr">
        <is>
          <t>FDA, TUV</t>
        </is>
      </c>
      <c r="O204" t="inlineStr">
        <is>
          <t>https://www.medzell.net/company/jiangsu-suyun-medical-equipment-co-ltd/</t>
        </is>
      </c>
      <c r="Q204" t="n">
        <v>10</v>
      </c>
      <c r="R204">
        <f>IF(Q204="","",IF(Q204&gt;=60,"HIGH",IF(Q204&gt;=30,"MEDIUM","LOW")))</f>
        <v/>
      </c>
      <c r="S204" t="inlineStr">
        <is>
          <t>New</t>
        </is>
      </c>
      <c r="T204" t="inlineStr">
        <is>
          <t>2026-03-05</t>
        </is>
      </c>
      <c r="U204" t="inlineStr">
        <is>
          <t>Seed=Medzell; Seed-file: output/medzell_company_urls.txt</t>
        </is>
      </c>
    </row>
    <row r="205">
      <c r="A205" t="n">
        <v>204</v>
      </c>
      <c r="B205" t="inlineStr">
        <is>
          <t>JingFang Precision Medical Device (Shenzhen) Co., Ltd. - Innovative Ultrasound Interventional Products</t>
        </is>
      </c>
      <c r="C205" t="inlineStr"/>
      <c r="D205" t="inlineStr">
        <is>
          <t>Manufacturer</t>
        </is>
      </c>
      <c r="E205" t="inlineStr">
        <is>
          <t>PPE</t>
        </is>
      </c>
      <c r="F205" t="inlineStr">
        <is>
          <t>Wound Care, Lab Consumables, Syringes &amp; Needles, IV Infusion Sets, Gauze &amp; Bandages, Disinfectants, IV Cannulas, Catheters</t>
        </is>
      </c>
      <c r="G205" t="inlineStr"/>
      <c r="H205" t="inlineStr">
        <is>
          <t>https://www.medzell.net/main-categories-application/therapeutic-devices/</t>
        </is>
      </c>
      <c r="I205" t="inlineStr">
        <is>
          <t>michael@innofine.cn</t>
        </is>
      </c>
      <c r="L205" t="inlineStr"/>
      <c r="M205" t="inlineStr"/>
      <c r="N205" t="inlineStr">
        <is>
          <t>TUV</t>
        </is>
      </c>
      <c r="O205" t="inlineStr">
        <is>
          <t>https://www.medzell.net/company/jingfang-precision-medical-device-shenzhen-co-ltd/</t>
        </is>
      </c>
      <c r="Q205" t="n">
        <v>25</v>
      </c>
      <c r="R205">
        <f>IF(Q205="","",IF(Q205&gt;=60,"HIGH",IF(Q205&gt;=30,"MEDIUM","LOW")))</f>
        <v/>
      </c>
      <c r="S205" t="inlineStr">
        <is>
          <t>New</t>
        </is>
      </c>
      <c r="T205" t="inlineStr">
        <is>
          <t>2026-03-05</t>
        </is>
      </c>
      <c r="U205" t="inlineStr">
        <is>
          <t>Seed=Medzell; Seed-file: output/medzell_company_urls.txt</t>
        </is>
      </c>
    </row>
    <row r="206">
      <c r="A206" t="n">
        <v>205</v>
      </c>
      <c r="B206" t="inlineStr">
        <is>
          <t>Global Leader in Surgical and Medical Supplies | JK Medirise</t>
        </is>
      </c>
      <c r="C206" t="inlineStr"/>
      <c r="D206" t="inlineStr">
        <is>
          <t>Manufacturer</t>
        </is>
      </c>
      <c r="E206" t="inlineStr">
        <is>
          <t>PPE</t>
        </is>
      </c>
      <c r="F206" t="inlineStr">
        <is>
          <t>Wound Care, Syringes &amp; Needles, IV Infusion Sets, Catheters, Lab Consumables, IV Cannulas, Gauze &amp; Bandages, Disinfectants</t>
        </is>
      </c>
      <c r="G206" t="inlineStr"/>
      <c r="H206" t="inlineStr">
        <is>
          <t>https://www.medzell.net/main-categories-application/therapeutic-devices/</t>
        </is>
      </c>
      <c r="I206" t="inlineStr">
        <is>
          <t>sales@jkmedirise.com</t>
        </is>
      </c>
      <c r="L206" t="inlineStr">
        <is>
          <t>Stated</t>
        </is>
      </c>
      <c r="M206" t="inlineStr"/>
      <c r="N206" t="inlineStr">
        <is>
          <t>TUV</t>
        </is>
      </c>
      <c r="O206" t="inlineStr">
        <is>
          <t>https://www.medzell.net/company/jk-medirise/</t>
        </is>
      </c>
      <c r="Q206" t="n">
        <v>10</v>
      </c>
      <c r="R206">
        <f>IF(Q206="","",IF(Q206&gt;=60,"HIGH",IF(Q206&gt;=30,"MEDIUM","LOW")))</f>
        <v/>
      </c>
      <c r="S206" t="inlineStr">
        <is>
          <t>New</t>
        </is>
      </c>
      <c r="T206" t="inlineStr">
        <is>
          <t>2026-03-05</t>
        </is>
      </c>
      <c r="U206" t="inlineStr">
        <is>
          <t>Seed=Medzell; Seed-file: output/medzell_company_urls.txt</t>
        </is>
      </c>
    </row>
    <row r="207">
      <c r="A207" t="n">
        <v>206</v>
      </c>
      <c r="B207" t="inlineStr">
        <is>
          <t>Johari Digital Healthcare Limited: Global Leader in Precision Medical Devices</t>
        </is>
      </c>
      <c r="C207" t="inlineStr"/>
      <c r="D207" t="inlineStr">
        <is>
          <t>Manufacturer</t>
        </is>
      </c>
      <c r="E207" t="inlineStr">
        <is>
          <t>PPE</t>
        </is>
      </c>
      <c r="F207" t="inlineStr">
        <is>
          <t>Wound Care, Lab Consumables, Syringes &amp; Needles, IV Infusion Sets, Gauze &amp; Bandages, Disinfectants, IV Cannulas, Catheters</t>
        </is>
      </c>
      <c r="G207" t="inlineStr"/>
      <c r="H207" t="inlineStr">
        <is>
          <t>https://www.medzell.net/main-categories-application/therapeutic-devices/</t>
        </is>
      </c>
      <c r="I207" t="inlineStr">
        <is>
          <t>kkumawat@joharidigital.com</t>
        </is>
      </c>
      <c r="L207" t="inlineStr">
        <is>
          <t>Stated</t>
        </is>
      </c>
      <c r="M207" t="inlineStr"/>
      <c r="N207" t="inlineStr">
        <is>
          <t>FDA, GMP, TUV</t>
        </is>
      </c>
      <c r="O207" t="inlineStr">
        <is>
          <t>https://www.medzell.net/company/johari-digital-healthcare-limited/</t>
        </is>
      </c>
      <c r="Q207" t="n">
        <v>10</v>
      </c>
      <c r="R207">
        <f>IF(Q207="","",IF(Q207&gt;=60,"HIGH",IF(Q207&gt;=30,"MEDIUM","LOW")))</f>
        <v/>
      </c>
      <c r="S207" t="inlineStr">
        <is>
          <t>New</t>
        </is>
      </c>
      <c r="T207" t="inlineStr">
        <is>
          <t>2026-03-05</t>
        </is>
      </c>
      <c r="U207" t="inlineStr">
        <is>
          <t>Seed=Medzell; Seed-file: output/medzell_company_urls.txt</t>
        </is>
      </c>
    </row>
    <row r="208">
      <c r="A208" t="n">
        <v>207</v>
      </c>
      <c r="B208" t="inlineStr">
        <is>
          <t>Kali Medtech Pvt. Ltd. | Innovative Cardiac Arrhythmia Monitoring Solutions</t>
        </is>
      </c>
      <c r="C208" t="inlineStr"/>
      <c r="D208" t="inlineStr">
        <is>
          <t>Manufacturer</t>
        </is>
      </c>
      <c r="E208" t="inlineStr">
        <is>
          <t>PPE</t>
        </is>
      </c>
      <c r="F208" t="inlineStr">
        <is>
          <t>Wound Care, Lab Consumables, Syringes &amp; Needles, IV Infusion Sets, Gauze &amp; Bandages, Disinfectants, IV Cannulas, Catheters</t>
        </is>
      </c>
      <c r="G208" t="inlineStr"/>
      <c r="H208" t="inlineStr">
        <is>
          <t>https://www.medzell.net/main-categories-application/therapeutic-devices/</t>
        </is>
      </c>
      <c r="I208" t="inlineStr">
        <is>
          <t>jimish.shah@projectkmt.com</t>
        </is>
      </c>
      <c r="L208" t="inlineStr"/>
      <c r="M208" t="inlineStr"/>
      <c r="N208" t="inlineStr">
        <is>
          <t>FDA, TUV</t>
        </is>
      </c>
      <c r="O208" t="inlineStr">
        <is>
          <t>https://www.medzell.net/company/kali-medtech-pvt-ltd/</t>
        </is>
      </c>
      <c r="Q208" t="n">
        <v>25</v>
      </c>
      <c r="R208">
        <f>IF(Q208="","",IF(Q208&gt;=60,"HIGH",IF(Q208&gt;=30,"MEDIUM","LOW")))</f>
        <v/>
      </c>
      <c r="S208" t="inlineStr">
        <is>
          <t>New</t>
        </is>
      </c>
      <c r="T208" t="inlineStr">
        <is>
          <t>2026-03-05</t>
        </is>
      </c>
      <c r="U208" t="inlineStr">
        <is>
          <t>Seed=Medzell; Seed-file: output/medzell_company_urls.txt</t>
        </is>
      </c>
    </row>
    <row r="209">
      <c r="A209" t="n">
        <v>208</v>
      </c>
      <c r="B209" t="inlineStr">
        <is>
          <t>Kanad Vidyut | Pioneering Analytical Instruments for Clinical Laboratories</t>
        </is>
      </c>
      <c r="C209" t="inlineStr"/>
      <c r="D209" t="inlineStr">
        <is>
          <t>Manufacturer</t>
        </is>
      </c>
      <c r="E209" t="inlineStr">
        <is>
          <t>PPE</t>
        </is>
      </c>
      <c r="F209" t="inlineStr">
        <is>
          <t>Wound Care, Lab Consumables, Syringes &amp; Needles, IV Infusion Sets, Gauze &amp; Bandages, Disinfectants, IV Cannulas, Catheters</t>
        </is>
      </c>
      <c r="G209" t="inlineStr"/>
      <c r="H209" t="inlineStr">
        <is>
          <t>https://www.medzell.net/main-categories-application/therapeutic-devices/</t>
        </is>
      </c>
      <c r="I209" t="inlineStr">
        <is>
          <t>kanad.pune@gmail.com</t>
        </is>
      </c>
      <c r="L209" t="inlineStr">
        <is>
          <t>Stated</t>
        </is>
      </c>
      <c r="M209" t="inlineStr"/>
      <c r="N209" t="inlineStr">
        <is>
          <t>TUV</t>
        </is>
      </c>
      <c r="O209" t="inlineStr">
        <is>
          <t>https://www.medzell.net/company/kanad-vidyut/</t>
        </is>
      </c>
      <c r="Q209" t="n">
        <v>30</v>
      </c>
      <c r="R209">
        <f>IF(Q209="","",IF(Q209&gt;=60,"HIGH",IF(Q209&gt;=30,"MEDIUM","LOW")))</f>
        <v/>
      </c>
      <c r="S209" t="inlineStr">
        <is>
          <t>New</t>
        </is>
      </c>
      <c r="T209" t="inlineStr">
        <is>
          <t>2026-03-05</t>
        </is>
      </c>
      <c r="U209" t="inlineStr">
        <is>
          <t>Seed=Medzell; Seed-file: output/medzell_company_urls.txt</t>
        </is>
      </c>
    </row>
    <row r="210">
      <c r="A210" t="n">
        <v>209</v>
      </c>
      <c r="B210" t="inlineStr">
        <is>
          <t>Leading Manufacturer and Exporter of Laparoscopic Medical Devices in India - Kara Mediclust Private Limited</t>
        </is>
      </c>
      <c r="C210" t="inlineStr"/>
      <c r="D210" t="inlineStr">
        <is>
          <t>Manufacturer</t>
        </is>
      </c>
      <c r="E210" t="inlineStr">
        <is>
          <t>PPE</t>
        </is>
      </c>
      <c r="F210" t="inlineStr">
        <is>
          <t>Wound Care, Lab Consumables, Syringes &amp; Needles, IV Infusion Sets, Gauze &amp; Bandages, Disinfectants, IV Cannulas, Catheters</t>
        </is>
      </c>
      <c r="G210" t="inlineStr"/>
      <c r="H210" t="inlineStr">
        <is>
          <t>https://www.medzell.net/main-categories-application/therapeutic-devices/</t>
        </is>
      </c>
      <c r="I210" t="inlineStr">
        <is>
          <t>karamediclust@gmail.com</t>
        </is>
      </c>
      <c r="L210" t="inlineStr"/>
      <c r="M210" t="inlineStr"/>
      <c r="N210" t="inlineStr">
        <is>
          <t>TUV</t>
        </is>
      </c>
      <c r="O210" t="inlineStr">
        <is>
          <t>https://www.medzell.net/company/kara-mediclust-pvt-ltd/</t>
        </is>
      </c>
      <c r="Q210" t="n">
        <v>45</v>
      </c>
      <c r="R210">
        <f>IF(Q210="","",IF(Q210&gt;=60,"HIGH",IF(Q210&gt;=30,"MEDIUM","LOW")))</f>
        <v/>
      </c>
      <c r="S210" t="inlineStr">
        <is>
          <t>New</t>
        </is>
      </c>
      <c r="T210" t="inlineStr">
        <is>
          <t>2026-03-05</t>
        </is>
      </c>
      <c r="U210" t="inlineStr">
        <is>
          <t>Seed=Medzell; Seed-file: output/medzell_company_urls.txt</t>
        </is>
      </c>
    </row>
    <row r="211">
      <c r="A211" t="n">
        <v>210</v>
      </c>
      <c r="B211" t="inlineStr">
        <is>
          <t>Karma Healthcare: Global Leader in Wheelchairs, Mobility Aids, and Patient Care Solutions</t>
        </is>
      </c>
      <c r="C211" t="inlineStr"/>
      <c r="D211" t="inlineStr">
        <is>
          <t>Manufacturer</t>
        </is>
      </c>
      <c r="E211" t="inlineStr">
        <is>
          <t>PPE</t>
        </is>
      </c>
      <c r="F211" t="inlineStr">
        <is>
          <t>Wound Care, Lab Consumables, Syringes &amp; Needles, IV Infusion Sets, Gauze &amp; Bandages, Disinfectants, IV Cannulas, Catheters</t>
        </is>
      </c>
      <c r="G211" t="inlineStr"/>
      <c r="H211" t="inlineStr">
        <is>
          <t>https://www.medzell.net/main-categories-application/therapeutic-devices/</t>
        </is>
      </c>
      <c r="I211" t="inlineStr">
        <is>
          <t>dnt@karmahealthcare.com</t>
        </is>
      </c>
      <c r="L211" t="inlineStr"/>
      <c r="M211" t="inlineStr">
        <is>
          <t>Stated</t>
        </is>
      </c>
      <c r="N211" t="inlineStr">
        <is>
          <t>TUV</t>
        </is>
      </c>
      <c r="O211" t="inlineStr">
        <is>
          <t>https://www.medzell.net/company/karma-healthcare-limited/</t>
        </is>
      </c>
      <c r="Q211" t="n">
        <v>15</v>
      </c>
      <c r="R211">
        <f>IF(Q211="","",IF(Q211&gt;=60,"HIGH",IF(Q211&gt;=30,"MEDIUM","LOW")))</f>
        <v/>
      </c>
      <c r="S211" t="inlineStr">
        <is>
          <t>New</t>
        </is>
      </c>
      <c r="T211" t="inlineStr">
        <is>
          <t>2026-03-05</t>
        </is>
      </c>
      <c r="U211" t="inlineStr">
        <is>
          <t>Seed=Medzell; Seed-file: output/medzell_company_urls.txt</t>
        </is>
      </c>
    </row>
    <row r="212">
      <c r="A212" t="n">
        <v>211</v>
      </c>
      <c r="B212" t="inlineStr">
        <is>
          <t>Leading Manufacturer of Ophthalmic and Scientific Instruments in India - Kashmir Surgical India Pvt. Ltd.</t>
        </is>
      </c>
      <c r="C212" t="inlineStr"/>
      <c r="D212" t="inlineStr">
        <is>
          <t>Manufacturer</t>
        </is>
      </c>
      <c r="E212" t="inlineStr">
        <is>
          <t>PPE</t>
        </is>
      </c>
      <c r="F212" t="inlineStr">
        <is>
          <t>Wound Care, Lab Consumables, Syringes &amp; Needles, IV Infusion Sets, Gauze &amp; Bandages, Disinfectants, IV Cannulas, Catheters</t>
        </is>
      </c>
      <c r="G212" t="inlineStr"/>
      <c r="H212" t="inlineStr">
        <is>
          <t>https://www.medzell.net/main-categories-application/therapeutic-devices/</t>
        </is>
      </c>
      <c r="I212" t="inlineStr">
        <is>
          <t>info@kashmirsurgical.com</t>
        </is>
      </c>
      <c r="L212" t="inlineStr">
        <is>
          <t>Stated</t>
        </is>
      </c>
      <c r="M212" t="inlineStr">
        <is>
          <t>Stated</t>
        </is>
      </c>
      <c r="N212" t="inlineStr">
        <is>
          <t>TUV</t>
        </is>
      </c>
      <c r="O212" t="inlineStr">
        <is>
          <t>https://www.medzell.net/company/kashmir-surgical-india-pvt-ltd/</t>
        </is>
      </c>
      <c r="Q212" t="n">
        <v>0</v>
      </c>
      <c r="R212">
        <f>IF(Q212="","",IF(Q212&gt;=60,"HIGH",IF(Q212&gt;=30,"MEDIUM","LOW")))</f>
        <v/>
      </c>
      <c r="S212" t="inlineStr">
        <is>
          <t>New</t>
        </is>
      </c>
      <c r="T212" t="inlineStr">
        <is>
          <t>2026-03-05</t>
        </is>
      </c>
      <c r="U212" t="inlineStr">
        <is>
          <t>Seed=Medzell; Seed-file: output/medzell_company_urls.txt</t>
        </is>
      </c>
    </row>
    <row r="213">
      <c r="A213" t="n">
        <v>212</v>
      </c>
      <c r="B213" t="inlineStr">
        <is>
          <t>Top Hospital Beds and X-Ray View Boxes - Kathir Sudhir Automation India Pvt. Ltd.</t>
        </is>
      </c>
      <c r="C213" t="inlineStr"/>
      <c r="D213" t="inlineStr">
        <is>
          <t>Manufacturer</t>
        </is>
      </c>
      <c r="E213" t="inlineStr">
        <is>
          <t>PPE</t>
        </is>
      </c>
      <c r="F213" t="inlineStr">
        <is>
          <t>Wound Care, Lab Consumables, Syringes &amp; Needles, IV Infusion Sets, Gauze &amp; Bandages, Disinfectants, IV Cannulas, Catheters</t>
        </is>
      </c>
      <c r="G213" t="inlineStr"/>
      <c r="H213" t="inlineStr">
        <is>
          <t>https://www.medzell.net/main-categories-application/therapeutic-devices/</t>
        </is>
      </c>
      <c r="I213" t="inlineStr">
        <is>
          <t>ks@kathirsudhirautomation.com</t>
        </is>
      </c>
      <c r="L213" t="inlineStr"/>
      <c r="M213" t="inlineStr"/>
      <c r="N213" t="inlineStr">
        <is>
          <t>TUV</t>
        </is>
      </c>
      <c r="O213" t="inlineStr">
        <is>
          <t>https://www.medzell.net/company/kathir-sudhir-automation-india-pvt-ltd/</t>
        </is>
      </c>
      <c r="Q213" t="n">
        <v>25</v>
      </c>
      <c r="R213">
        <f>IF(Q213="","",IF(Q213&gt;=60,"HIGH",IF(Q213&gt;=30,"MEDIUM","LOW")))</f>
        <v/>
      </c>
      <c r="S213" t="inlineStr">
        <is>
          <t>New</t>
        </is>
      </c>
      <c r="T213" t="inlineStr">
        <is>
          <t>2026-03-05</t>
        </is>
      </c>
      <c r="U213" t="inlineStr">
        <is>
          <t>Seed=Medzell; Seed-file: output/medzell_company_urls.txt</t>
        </is>
      </c>
    </row>
    <row r="214">
      <c r="A214" t="n">
        <v>213</v>
      </c>
      <c r="B214" t="inlineStr">
        <is>
          <t>High-Quality Medical Devices by Kavitul Technologies: Portable 12-Channel ECG Equipment from Dr. Cardio</t>
        </is>
      </c>
      <c r="C214" t="inlineStr"/>
      <c r="D214" t="inlineStr">
        <is>
          <t>Manufacturer</t>
        </is>
      </c>
      <c r="E214" t="inlineStr">
        <is>
          <t>PPE</t>
        </is>
      </c>
      <c r="F214" t="inlineStr">
        <is>
          <t>Wound Care, Lab Consumables, Syringes &amp; Needles, IV Infusion Sets, Gauze &amp; Bandages, Disinfectants, IV Cannulas, Catheters</t>
        </is>
      </c>
      <c r="G214" t="inlineStr"/>
      <c r="H214" t="inlineStr">
        <is>
          <t>https://www.medzell.net/main-categories-application/therapeutic-devices/</t>
        </is>
      </c>
      <c r="I214" t="inlineStr">
        <is>
          <t>yogesh@kavitul.com</t>
        </is>
      </c>
      <c r="L214" t="inlineStr">
        <is>
          <t>Stated</t>
        </is>
      </c>
      <c r="M214" t="inlineStr"/>
      <c r="N214" t="inlineStr">
        <is>
          <t>FDA, TUV</t>
        </is>
      </c>
      <c r="O214" t="inlineStr">
        <is>
          <t>https://www.medzell.net/company/kavitul-technologies-pvt-ltd/</t>
        </is>
      </c>
      <c r="Q214" t="n">
        <v>10</v>
      </c>
      <c r="R214">
        <f>IF(Q214="","",IF(Q214&gt;=60,"HIGH",IF(Q214&gt;=30,"MEDIUM","LOW")))</f>
        <v/>
      </c>
      <c r="S214" t="inlineStr">
        <is>
          <t>New</t>
        </is>
      </c>
      <c r="T214" t="inlineStr">
        <is>
          <t>2026-03-05</t>
        </is>
      </c>
      <c r="U214" t="inlineStr">
        <is>
          <t>Seed=Medzell; Seed-file: output/medzell_company_urls.txt</t>
        </is>
      </c>
    </row>
    <row r="215">
      <c r="A215" t="n">
        <v>214</v>
      </c>
      <c r="B215" t="inlineStr">
        <is>
          <t>Leading Importer and Exporter of Dental Equipment and Materials - KCK Dental Pvt. Ltd.</t>
        </is>
      </c>
      <c r="C215" t="inlineStr"/>
      <c r="D215" t="inlineStr">
        <is>
          <t>Manufacturer</t>
        </is>
      </c>
      <c r="E215" t="inlineStr">
        <is>
          <t>PPE</t>
        </is>
      </c>
      <c r="F215" t="inlineStr">
        <is>
          <t>Wound Care, Lab Consumables, Syringes &amp; Needles, IV Infusion Sets, Gauze &amp; Bandages, Disinfectants, IV Cannulas, Catheters</t>
        </is>
      </c>
      <c r="G215" t="inlineStr"/>
      <c r="H215" t="inlineStr">
        <is>
          <t>https://www.medzell.net/main-categories-application/therapeutic-devices/</t>
        </is>
      </c>
      <c r="I215" t="inlineStr">
        <is>
          <t>babu@kckdentals.com</t>
        </is>
      </c>
      <c r="L215" t="inlineStr"/>
      <c r="M215" t="inlineStr"/>
      <c r="N215" t="inlineStr">
        <is>
          <t>TUV</t>
        </is>
      </c>
      <c r="O215" t="inlineStr">
        <is>
          <t>https://www.medzell.net/company/kck-dental-pvt-ltd/</t>
        </is>
      </c>
      <c r="Q215" t="n">
        <v>25</v>
      </c>
      <c r="R215">
        <f>IF(Q215="","",IF(Q215&gt;=60,"HIGH",IF(Q215&gt;=30,"MEDIUM","LOW")))</f>
        <v/>
      </c>
      <c r="S215" t="inlineStr">
        <is>
          <t>New</t>
        </is>
      </c>
      <c r="T215" t="inlineStr">
        <is>
          <t>2026-03-05</t>
        </is>
      </c>
      <c r="U215" t="inlineStr">
        <is>
          <t>Seed=Medzell; Seed-file: output/medzell_company_urls.txt</t>
        </is>
      </c>
    </row>
    <row r="216">
      <c r="A216" t="n">
        <v>215</v>
      </c>
      <c r="B216" t="inlineStr">
        <is>
          <t>Elevating Patient Care with Advanced Hospital Beds &amp; Stretchers</t>
        </is>
      </c>
      <c r="C216" t="inlineStr"/>
      <c r="D216" t="inlineStr">
        <is>
          <t>Manufacturer</t>
        </is>
      </c>
      <c r="E216" t="inlineStr">
        <is>
          <t>PPE</t>
        </is>
      </c>
      <c r="F216" t="inlineStr">
        <is>
          <t>Wound Care, Lab Consumables, Syringes &amp; Needles, IV Infusion Sets, Gauze &amp; Bandages, Disinfectants, IV Cannulas, Catheters</t>
        </is>
      </c>
      <c r="G216" t="inlineStr"/>
      <c r="H216" t="inlineStr">
        <is>
          <t>https://www.medzell.net/main-categories-application/therapeutic-devices/</t>
        </is>
      </c>
      <c r="I216" t="inlineStr">
        <is>
          <t>bms@kmbiomed.in</t>
        </is>
      </c>
      <c r="L216" t="inlineStr">
        <is>
          <t>Stated</t>
        </is>
      </c>
      <c r="M216" t="inlineStr">
        <is>
          <t>Stated</t>
        </is>
      </c>
      <c r="N216" t="inlineStr">
        <is>
          <t>TUV</t>
        </is>
      </c>
      <c r="O216" t="inlineStr">
        <is>
          <t>https://www.medzell.net/company/km-best-medical-works-pvt-ltd/</t>
        </is>
      </c>
      <c r="Q216" t="n">
        <v>0</v>
      </c>
      <c r="R216">
        <f>IF(Q216="","",IF(Q216&gt;=60,"HIGH",IF(Q216&gt;=30,"MEDIUM","LOW")))</f>
        <v/>
      </c>
      <c r="S216" t="inlineStr">
        <is>
          <t>New</t>
        </is>
      </c>
      <c r="T216" t="inlineStr">
        <is>
          <t>2026-03-05</t>
        </is>
      </c>
      <c r="U216" t="inlineStr">
        <is>
          <t>Seed=Medzell; Seed-file: output/medzell_company_urls.txt</t>
        </is>
      </c>
    </row>
    <row r="217">
      <c r="A217" t="n">
        <v>216</v>
      </c>
      <c r="B217" t="inlineStr">
        <is>
          <t>Forging Excellence in Medical Surgical Solutions: The Kohinoor Products Journey Since 1996</t>
        </is>
      </c>
      <c r="C217" t="inlineStr"/>
      <c r="D217" t="inlineStr">
        <is>
          <t>Manufacturer</t>
        </is>
      </c>
      <c r="E217" t="inlineStr">
        <is>
          <t>PPE</t>
        </is>
      </c>
      <c r="F217" t="inlineStr">
        <is>
          <t>Wound Care, Gauze &amp; Bandages, Lab Consumables, Syringes &amp; Needles, IV Infusion Sets, Disinfectants, IV Cannulas, Catheters</t>
        </is>
      </c>
      <c r="G217" t="inlineStr"/>
      <c r="H217" t="inlineStr">
        <is>
          <t>https://www.medzell.net/main-categories-application/therapeutic-devices/</t>
        </is>
      </c>
      <c r="I217" t="inlineStr">
        <is>
          <t>sales@kohinoorproducts.com</t>
        </is>
      </c>
      <c r="L217" t="inlineStr"/>
      <c r="M217" t="inlineStr"/>
      <c r="N217" t="inlineStr">
        <is>
          <t>FDA, GMP, TUV</t>
        </is>
      </c>
      <c r="O217" t="inlineStr">
        <is>
          <t>https://www.medzell.net/company/kohinoor-products/</t>
        </is>
      </c>
      <c r="Q217" t="n">
        <v>25</v>
      </c>
      <c r="R217">
        <f>IF(Q217="","",IF(Q217&gt;=60,"HIGH",IF(Q217&gt;=30,"MEDIUM","LOW")))</f>
        <v/>
      </c>
      <c r="S217" t="inlineStr">
        <is>
          <t>New</t>
        </is>
      </c>
      <c r="T217" t="inlineStr">
        <is>
          <t>2026-03-05</t>
        </is>
      </c>
      <c r="U217" t="inlineStr">
        <is>
          <t>Seed=Medzell; Seed-file: output/medzell_company_urls.txt</t>
        </is>
      </c>
    </row>
    <row r="218">
      <c r="A218" t="n">
        <v>217</v>
      </c>
      <c r="B218" t="inlineStr">
        <is>
          <t>Leading Manufacturer and Exporter of Surgical Tables and Lights - Koinamed India Pvt. Ltd.</t>
        </is>
      </c>
      <c r="C218" t="inlineStr"/>
      <c r="D218" t="inlineStr">
        <is>
          <t>Manufacturer</t>
        </is>
      </c>
      <c r="E218" t="inlineStr">
        <is>
          <t>PPE</t>
        </is>
      </c>
      <c r="F218" t="inlineStr">
        <is>
          <t>Wound Care, Lab Consumables, Syringes &amp; Needles, IV Infusion Sets, Gauze &amp; Bandages, Disinfectants, IV Cannulas, Catheters</t>
        </is>
      </c>
      <c r="G218" t="inlineStr"/>
      <c r="H218" t="inlineStr">
        <is>
          <t>https://www.medzell.net/main-categories-application/therapeutic-devices/</t>
        </is>
      </c>
      <c r="I218" t="inlineStr">
        <is>
          <t>delhi1.technomed@gmail.com</t>
        </is>
      </c>
      <c r="L218" t="inlineStr">
        <is>
          <t>Stated</t>
        </is>
      </c>
      <c r="M218" t="inlineStr"/>
      <c r="N218" t="inlineStr">
        <is>
          <t>GMP, TUV</t>
        </is>
      </c>
      <c r="O218" t="inlineStr">
        <is>
          <t>https://www.medzell.net/company/koinamed-india-pvt-ltd/</t>
        </is>
      </c>
      <c r="Q218" t="n">
        <v>30</v>
      </c>
      <c r="R218">
        <f>IF(Q218="","",IF(Q218&gt;=60,"HIGH",IF(Q218&gt;=30,"MEDIUM","LOW")))</f>
        <v/>
      </c>
      <c r="S218" t="inlineStr">
        <is>
          <t>New</t>
        </is>
      </c>
      <c r="T218" t="inlineStr">
        <is>
          <t>2026-03-05</t>
        </is>
      </c>
      <c r="U218" t="inlineStr">
        <is>
          <t>Seed=Medzell; Seed-file: output/medzell_company_urls.txt</t>
        </is>
      </c>
    </row>
    <row r="219">
      <c r="A219" t="n">
        <v>218</v>
      </c>
      <c r="B219" t="inlineStr">
        <is>
          <t>Top-Quality Medical Devices and Equipment | Kooper Medical Technology Pvt. Ltd.</t>
        </is>
      </c>
      <c r="C219" t="inlineStr"/>
      <c r="D219" t="inlineStr">
        <is>
          <t>Manufacturer</t>
        </is>
      </c>
      <c r="E219" t="inlineStr">
        <is>
          <t>PPE</t>
        </is>
      </c>
      <c r="F219" t="inlineStr">
        <is>
          <t>Wound Care, Lab Consumables, Syringes &amp; Needles, IV Infusion Sets, Gauze &amp; Bandages, Disinfectants, IV Cannulas, Catheters</t>
        </is>
      </c>
      <c r="G219" t="inlineStr"/>
      <c r="H219" t="inlineStr">
        <is>
          <t>https://www.medzell.net/main-categories-application/therapeutic-devices/</t>
        </is>
      </c>
      <c r="I219" t="inlineStr">
        <is>
          <t>prajesh@koopermedical.com</t>
        </is>
      </c>
      <c r="L219" t="inlineStr">
        <is>
          <t>Stated</t>
        </is>
      </c>
      <c r="M219" t="inlineStr">
        <is>
          <t>Stated</t>
        </is>
      </c>
      <c r="N219" t="inlineStr">
        <is>
          <t>TUV</t>
        </is>
      </c>
      <c r="O219" t="inlineStr">
        <is>
          <t>https://www.medzell.net/company/kooper-medical-technology-pvt-ltd/</t>
        </is>
      </c>
      <c r="Q219" t="n">
        <v>0</v>
      </c>
      <c r="R219">
        <f>IF(Q219="","",IF(Q219&gt;=60,"HIGH",IF(Q219&gt;=30,"MEDIUM","LOW")))</f>
        <v/>
      </c>
      <c r="S219" t="inlineStr">
        <is>
          <t>New</t>
        </is>
      </c>
      <c r="T219" t="inlineStr">
        <is>
          <t>2026-03-05</t>
        </is>
      </c>
      <c r="U219" t="inlineStr">
        <is>
          <t>Seed=Medzell; Seed-file: output/medzell_company_urls.txt</t>
        </is>
      </c>
    </row>
    <row r="220">
      <c r="A220" t="n">
        <v>219</v>
      </c>
      <c r="B220" t="inlineStr">
        <is>
          <t>Kordon Tıp Ltd. – Pioneering CSSD Devices Manufacturer in Turkey Since 1998</t>
        </is>
      </c>
      <c r="C220" t="inlineStr"/>
      <c r="D220" t="inlineStr">
        <is>
          <t>Manufacturer</t>
        </is>
      </c>
      <c r="E220" t="inlineStr">
        <is>
          <t>PPE</t>
        </is>
      </c>
      <c r="F220" t="inlineStr">
        <is>
          <t>Wound Care, Lab Consumables, Syringes &amp; Needles, IV Infusion Sets, Gauze &amp; Bandages, Disinfectants, IV Cannulas, Catheters</t>
        </is>
      </c>
      <c r="G220" t="inlineStr"/>
      <c r="H220" t="inlineStr">
        <is>
          <t>https://www.medzell.net/main-categories-application/therapeutic-devices/</t>
        </is>
      </c>
      <c r="I220" t="inlineStr">
        <is>
          <t>export2@kordontip.com</t>
        </is>
      </c>
      <c r="L220" t="inlineStr">
        <is>
          <t>Stated</t>
        </is>
      </c>
      <c r="M220" t="inlineStr"/>
      <c r="N220" t="inlineStr">
        <is>
          <t>TUV</t>
        </is>
      </c>
      <c r="O220" t="inlineStr">
        <is>
          <t>https://www.medzell.net/company/kordon-tip-ltd/</t>
        </is>
      </c>
      <c r="Q220" t="n">
        <v>10</v>
      </c>
      <c r="R220">
        <f>IF(Q220="","",IF(Q220&gt;=60,"HIGH",IF(Q220&gt;=30,"MEDIUM","LOW")))</f>
        <v/>
      </c>
      <c r="S220" t="inlineStr">
        <is>
          <t>New</t>
        </is>
      </c>
      <c r="T220" t="inlineStr">
        <is>
          <t>2026-03-05</t>
        </is>
      </c>
      <c r="U220" t="inlineStr">
        <is>
          <t>Seed=Medzell; Seed-file: output/medzell_company_urls.txt</t>
        </is>
      </c>
    </row>
    <row r="221">
      <c r="A221" t="n">
        <v>220</v>
      </c>
      <c r="B221" t="inlineStr">
        <is>
          <t>Lab Tech Scientific Works: Leading Manufacturer &amp; Supplier of Laboratory Equipment in Ambala, Haryana, India</t>
        </is>
      </c>
      <c r="C221" t="inlineStr"/>
      <c r="D221" t="inlineStr">
        <is>
          <t>Manufacturer</t>
        </is>
      </c>
      <c r="E221" t="inlineStr">
        <is>
          <t>PPE</t>
        </is>
      </c>
      <c r="F221" t="inlineStr">
        <is>
          <t>Wound Care, Lab Consumables, Syringes &amp; Needles, IV Infusion Sets, Gauze &amp; Bandages, Disinfectants, IV Cannulas, Catheters</t>
        </is>
      </c>
      <c r="G221" t="inlineStr"/>
      <c r="H221" t="inlineStr">
        <is>
          <t>https://www.medzell.net/main-categories-application/therapeutic-devices/</t>
        </is>
      </c>
      <c r="I221" t="inlineStr">
        <is>
          <t>labtechsc.works@gmail.com</t>
        </is>
      </c>
      <c r="L221" t="inlineStr"/>
      <c r="M221" t="inlineStr"/>
      <c r="N221" t="inlineStr">
        <is>
          <t>TUV</t>
        </is>
      </c>
      <c r="O221" t="inlineStr">
        <is>
          <t>https://www.medzell.net/company/lab-tech-scientific-works/</t>
        </is>
      </c>
      <c r="Q221" t="n">
        <v>45</v>
      </c>
      <c r="R221">
        <f>IF(Q221="","",IF(Q221&gt;=60,"HIGH",IF(Q221&gt;=30,"MEDIUM","LOW")))</f>
        <v/>
      </c>
      <c r="S221" t="inlineStr">
        <is>
          <t>New</t>
        </is>
      </c>
      <c r="T221" t="inlineStr">
        <is>
          <t>2026-03-05</t>
        </is>
      </c>
      <c r="U221" t="inlineStr">
        <is>
          <t>Seed=Medzell; Seed-file: output/medzell_company_urls.txt</t>
        </is>
      </c>
    </row>
    <row r="222">
      <c r="A222" t="n">
        <v>221</v>
      </c>
      <c r="B222" t="inlineStr">
        <is>
          <t>Labcy Medicine Box - Leading Manufacturer of Laboratory &amp; Analytical Instruments</t>
        </is>
      </c>
      <c r="C222" t="inlineStr"/>
      <c r="D222" t="inlineStr">
        <is>
          <t>Manufacturer</t>
        </is>
      </c>
      <c r="E222" t="inlineStr">
        <is>
          <t>PPE</t>
        </is>
      </c>
      <c r="F222" t="inlineStr">
        <is>
          <t>Wound Care, Lab Consumables, Syringes &amp; Needles, IV Infusion Sets, Gauze &amp; Bandages, Disinfectants, IV Cannulas, Catheters</t>
        </is>
      </c>
      <c r="G222" t="inlineStr"/>
      <c r="H222" t="inlineStr">
        <is>
          <t>https://www.medzell.net/main-categories-application/therapeutic-devices/</t>
        </is>
      </c>
      <c r="I222" t="inlineStr">
        <is>
          <t>mboxinternationals@gmail.com</t>
        </is>
      </c>
      <c r="L222" t="inlineStr"/>
      <c r="M222" t="inlineStr">
        <is>
          <t>Stated</t>
        </is>
      </c>
      <c r="N222" t="inlineStr">
        <is>
          <t>TUV</t>
        </is>
      </c>
      <c r="O222" t="inlineStr">
        <is>
          <t>https://www.medzell.net/company/labcy-medicine-box/</t>
        </is>
      </c>
      <c r="Q222" t="n">
        <v>35</v>
      </c>
      <c r="R222">
        <f>IF(Q222="","",IF(Q222&gt;=60,"HIGH",IF(Q222&gt;=30,"MEDIUM","LOW")))</f>
        <v/>
      </c>
      <c r="S222" t="inlineStr">
        <is>
          <t>New</t>
        </is>
      </c>
      <c r="T222" t="inlineStr">
        <is>
          <t>2026-03-05</t>
        </is>
      </c>
      <c r="U222" t="inlineStr">
        <is>
          <t>Seed=Medzell; Seed-file: output/medzell_company_urls.txt</t>
        </is>
      </c>
    </row>
    <row r="223">
      <c r="A223" t="n">
        <v>222</v>
      </c>
      <c r="B223" t="inlineStr">
        <is>
          <t>Laboid International - Leading Manufacturer of Laboratory Equipment and Distilled Water Solutions</t>
        </is>
      </c>
      <c r="C223" t="inlineStr"/>
      <c r="D223" t="inlineStr">
        <is>
          <t>Manufacturer</t>
        </is>
      </c>
      <c r="E223" t="inlineStr">
        <is>
          <t>PPE</t>
        </is>
      </c>
      <c r="F223" t="inlineStr">
        <is>
          <t>Wound Care, Lab Consumables, Syringes &amp; Needles, IV Infusion Sets, Gauze &amp; Bandages, Disinfectants, IV Cannulas, Catheters</t>
        </is>
      </c>
      <c r="G223" t="inlineStr"/>
      <c r="H223" t="inlineStr">
        <is>
          <t>https://www.medzell.net/main-categories-application/therapeutic-devices/</t>
        </is>
      </c>
      <c r="I223" t="inlineStr">
        <is>
          <t>laboidsales@gmail.com</t>
        </is>
      </c>
      <c r="L223" t="inlineStr"/>
      <c r="M223" t="inlineStr"/>
      <c r="N223" t="inlineStr">
        <is>
          <t>TUV</t>
        </is>
      </c>
      <c r="O223" t="inlineStr">
        <is>
          <t>https://www.medzell.net/company/laboid-international/</t>
        </is>
      </c>
      <c r="Q223" t="n">
        <v>45</v>
      </c>
      <c r="R223">
        <f>IF(Q223="","",IF(Q223&gt;=60,"HIGH",IF(Q223&gt;=30,"MEDIUM","LOW")))</f>
        <v/>
      </c>
      <c r="S223" t="inlineStr">
        <is>
          <t>New</t>
        </is>
      </c>
      <c r="T223" t="inlineStr">
        <is>
          <t>2026-03-05</t>
        </is>
      </c>
      <c r="U223" t="inlineStr">
        <is>
          <t>Seed=Medzell; Seed-file: output/medzell_company_urls.txt</t>
        </is>
      </c>
    </row>
    <row r="224">
      <c r="A224" t="n">
        <v>223</v>
      </c>
      <c r="B224" t="inlineStr">
        <is>
          <t>Labtop Instruments: Global Manufacturer of Top-Quality Laboratory Instruments and Scientific Equipment</t>
        </is>
      </c>
      <c r="C224" t="inlineStr"/>
      <c r="D224" t="inlineStr">
        <is>
          <t>Manufacturer</t>
        </is>
      </c>
      <c r="E224" t="inlineStr">
        <is>
          <t>PPE</t>
        </is>
      </c>
      <c r="F224" t="inlineStr">
        <is>
          <t>Wound Care, Lab Consumables, Syringes &amp; Needles, IV Infusion Sets, Gauze &amp; Bandages, Disinfectants, IV Cannulas, Catheters</t>
        </is>
      </c>
      <c r="G224" t="inlineStr"/>
      <c r="H224" t="inlineStr">
        <is>
          <t>https://www.medzell.net/main-categories-application/therapeutic-devices/</t>
        </is>
      </c>
      <c r="I224" t="inlineStr">
        <is>
          <t>chennai@labtopinstruments.com</t>
        </is>
      </c>
      <c r="L224" t="inlineStr">
        <is>
          <t>Stated</t>
        </is>
      </c>
      <c r="M224" t="inlineStr"/>
      <c r="N224" t="inlineStr">
        <is>
          <t>TUV</t>
        </is>
      </c>
      <c r="O224" t="inlineStr">
        <is>
          <t>https://www.medzell.net/company/labtop-instruments-pvt-ltd/</t>
        </is>
      </c>
      <c r="Q224" t="n">
        <v>10</v>
      </c>
      <c r="R224">
        <f>IF(Q224="","",IF(Q224&gt;=60,"HIGH",IF(Q224&gt;=30,"MEDIUM","LOW")))</f>
        <v/>
      </c>
      <c r="S224" t="inlineStr">
        <is>
          <t>New</t>
        </is>
      </c>
      <c r="T224" t="inlineStr">
        <is>
          <t>2026-03-05</t>
        </is>
      </c>
      <c r="U224" t="inlineStr">
        <is>
          <t>Seed=Medzell; Seed-file: output/medzell_company_urls.txt</t>
        </is>
      </c>
    </row>
    <row r="225">
      <c r="A225" t="n">
        <v>224</v>
      </c>
      <c r="B225" t="inlineStr">
        <is>
          <t>Labtron Equipment Ltd. - Leading Supplier of Lab Analytical Instruments &amp; Equipment</t>
        </is>
      </c>
      <c r="C225" t="inlineStr"/>
      <c r="D225" t="inlineStr">
        <is>
          <t>Manufacturer</t>
        </is>
      </c>
      <c r="E225" t="inlineStr">
        <is>
          <t>PPE</t>
        </is>
      </c>
      <c r="F225" t="inlineStr">
        <is>
          <t>Wound Care, Lab Consumables, Syringes &amp; Needles, IV Infusion Sets, Gauze &amp; Bandages, Disinfectants, IV Cannulas, Catheters</t>
        </is>
      </c>
      <c r="G225" t="inlineStr"/>
      <c r="H225" t="inlineStr">
        <is>
          <t>https://www.medzell.net/main-categories-application/therapeutic-devices/</t>
        </is>
      </c>
      <c r="I225" t="inlineStr">
        <is>
          <t>laura@labtron.website</t>
        </is>
      </c>
      <c r="L225" t="inlineStr">
        <is>
          <t>Stated</t>
        </is>
      </c>
      <c r="M225" t="inlineStr"/>
      <c r="N225" t="inlineStr">
        <is>
          <t>GMP, TUV</t>
        </is>
      </c>
      <c r="O225" t="inlineStr">
        <is>
          <t>https://www.medzell.net/company/labtron-equipment-ltd/</t>
        </is>
      </c>
      <c r="Q225" t="n">
        <v>10</v>
      </c>
      <c r="R225">
        <f>IF(Q225="","",IF(Q225&gt;=60,"HIGH",IF(Q225&gt;=30,"MEDIUM","LOW")))</f>
        <v/>
      </c>
      <c r="S225" t="inlineStr">
        <is>
          <t>New</t>
        </is>
      </c>
      <c r="T225" t="inlineStr">
        <is>
          <t>2026-03-05</t>
        </is>
      </c>
      <c r="U225" t="inlineStr">
        <is>
          <t>Seed=Medzell; Seed-file: output/medzell_company_urls.txt</t>
        </is>
      </c>
    </row>
    <row r="226">
      <c r="A226" t="n">
        <v>225</v>
      </c>
      <c r="B226" t="inlineStr">
        <is>
          <t>LabX: Empowering Laboratories with Cutting-Edge Diagnostics &amp; Life Science Solutions</t>
        </is>
      </c>
      <c r="C226" t="inlineStr"/>
      <c r="D226" t="inlineStr">
        <is>
          <t>Manufacturer</t>
        </is>
      </c>
      <c r="E226" t="inlineStr">
        <is>
          <t>PPE</t>
        </is>
      </c>
      <c r="F226" t="inlineStr">
        <is>
          <t>Wound Care, Lab Consumables, Syringes &amp; Needles, IV Infusion Sets, Gauze &amp; Bandages, Disinfectants, IV Cannulas, Catheters</t>
        </is>
      </c>
      <c r="G226" t="inlineStr"/>
      <c r="H226" t="inlineStr">
        <is>
          <t>https://www.medzell.net/main-categories-application/therapeutic-devices/</t>
        </is>
      </c>
      <c r="I226" t="inlineStr">
        <is>
          <t>info@labx.in</t>
        </is>
      </c>
      <c r="L226" t="inlineStr"/>
      <c r="M226" t="inlineStr"/>
      <c r="N226" t="inlineStr">
        <is>
          <t>TUV</t>
        </is>
      </c>
      <c r="O226" t="inlineStr">
        <is>
          <t>https://www.medzell.net/company/labx/</t>
        </is>
      </c>
      <c r="Q226" t="n">
        <v>25</v>
      </c>
      <c r="R226">
        <f>IF(Q226="","",IF(Q226&gt;=60,"HIGH",IF(Q226&gt;=30,"MEDIUM","LOW")))</f>
        <v/>
      </c>
      <c r="S226" t="inlineStr">
        <is>
          <t>New</t>
        </is>
      </c>
      <c r="T226" t="inlineStr">
        <is>
          <t>2026-03-05</t>
        </is>
      </c>
      <c r="U226" t="inlineStr">
        <is>
          <t>Seed=Medzell; Seed-file: output/medzell_company_urls.txt</t>
        </is>
      </c>
    </row>
    <row r="227">
      <c r="A227" t="n">
        <v>226</v>
      </c>
      <c r="B227" t="inlineStr">
        <is>
          <t>LAICA International Corp.: Leading Provider of Home Care Devices</t>
        </is>
      </c>
      <c r="C227" t="inlineStr"/>
      <c r="D227" t="inlineStr">
        <is>
          <t>Manufacturer</t>
        </is>
      </c>
      <c r="E227" t="inlineStr">
        <is>
          <t>PPE</t>
        </is>
      </c>
      <c r="F227" t="inlineStr">
        <is>
          <t>Wound Care, Lab Consumables, Syringes &amp; Needles, IV Infusion Sets, Gauze &amp; Bandages, Disinfectants, IV Cannulas, Catheters</t>
        </is>
      </c>
      <c r="G227" t="inlineStr"/>
      <c r="H227" t="inlineStr">
        <is>
          <t>https://www.medzell.net/main-categories-application/therapeutic-devices/</t>
        </is>
      </c>
      <c r="I227" t="inlineStr">
        <is>
          <t>mia.cheng@laica.com.tw</t>
        </is>
      </c>
      <c r="L227" t="inlineStr"/>
      <c r="M227" t="inlineStr"/>
      <c r="N227" t="inlineStr">
        <is>
          <t>TUV</t>
        </is>
      </c>
      <c r="O227" t="inlineStr">
        <is>
          <t>https://www.medzell.net/company/laica-international-corp/</t>
        </is>
      </c>
      <c r="Q227" t="n">
        <v>25</v>
      </c>
      <c r="R227">
        <f>IF(Q227="","",IF(Q227&gt;=60,"HIGH",IF(Q227&gt;=30,"MEDIUM","LOW")))</f>
        <v/>
      </c>
      <c r="S227" t="inlineStr">
        <is>
          <t>New</t>
        </is>
      </c>
      <c r="T227" t="inlineStr">
        <is>
          <t>2026-03-05</t>
        </is>
      </c>
      <c r="U227" t="inlineStr">
        <is>
          <t>Seed=Medzell; Seed-file: output/medzell_company_urls.txt</t>
        </is>
      </c>
    </row>
    <row r="228">
      <c r="A228" t="n">
        <v>227</v>
      </c>
      <c r="B228" t="inlineStr">
        <is>
          <t>Lalji International: Quality Ophthalmic Surgical Drapes and Gowns Manufacturer</t>
        </is>
      </c>
      <c r="C228" t="inlineStr"/>
      <c r="D228" t="inlineStr">
        <is>
          <t>Manufacturer</t>
        </is>
      </c>
      <c r="E228" t="inlineStr">
        <is>
          <t>PPE</t>
        </is>
      </c>
      <c r="F228" t="inlineStr">
        <is>
          <t>Wound Care, Lab Consumables, Syringes &amp; Needles, IV Infusion Sets, Catheters, Gauze &amp; Bandages, Disinfectants, IV Cannulas</t>
        </is>
      </c>
      <c r="G228" t="inlineStr"/>
      <c r="H228" t="inlineStr">
        <is>
          <t>https://www.medzell.net/main-categories-application/therapeutic-devices/</t>
        </is>
      </c>
      <c r="I228" t="inlineStr">
        <is>
          <t>lalji.international@gmail.com</t>
        </is>
      </c>
      <c r="L228" t="inlineStr"/>
      <c r="M228" t="inlineStr"/>
      <c r="N228" t="inlineStr">
        <is>
          <t>TUV</t>
        </is>
      </c>
      <c r="O228" t="inlineStr">
        <is>
          <t>https://www.medzell.net/company/lalji-international/</t>
        </is>
      </c>
      <c r="Q228" t="n">
        <v>45</v>
      </c>
      <c r="R228">
        <f>IF(Q228="","",IF(Q228&gt;=60,"HIGH",IF(Q228&gt;=30,"MEDIUM","LOW")))</f>
        <v/>
      </c>
      <c r="S228" t="inlineStr">
        <is>
          <t>New</t>
        </is>
      </c>
      <c r="T228" t="inlineStr">
        <is>
          <t>2026-03-05</t>
        </is>
      </c>
      <c r="U228" t="inlineStr">
        <is>
          <t>Seed=Medzell; Seed-file: output/medzell_company_urls.txt</t>
        </is>
      </c>
    </row>
    <row r="229">
      <c r="A229" t="n">
        <v>228</v>
      </c>
      <c r="B229" t="inlineStr">
        <is>
          <t>Top-Tier Manufacturer and Global Supplier of IV Cannulas and Medical Devices - Lars Medicare Pvt. Ltd.</t>
        </is>
      </c>
      <c r="C229" t="inlineStr"/>
      <c r="D229" t="inlineStr">
        <is>
          <t>Manufacturer</t>
        </is>
      </c>
      <c r="E229" t="inlineStr">
        <is>
          <t>PPE</t>
        </is>
      </c>
      <c r="F229" t="inlineStr">
        <is>
          <t>Wound Care, IV Infusion Sets, Syringes &amp; Needles, Lab Consumables, IV Cannulas, Gauze &amp; Bandages, Disinfectants, Catheters</t>
        </is>
      </c>
      <c r="G229" t="inlineStr"/>
      <c r="H229" t="inlineStr">
        <is>
          <t>https://www.medzell.net/main-categories-application/therapeutic-devices/</t>
        </is>
      </c>
      <c r="I229" t="inlineStr">
        <is>
          <t>exports2@larsmedicare.com</t>
        </is>
      </c>
      <c r="L229" t="inlineStr">
        <is>
          <t>Stated</t>
        </is>
      </c>
      <c r="M229" t="inlineStr"/>
      <c r="N229" t="inlineStr">
        <is>
          <t>TUV</t>
        </is>
      </c>
      <c r="O229" t="inlineStr">
        <is>
          <t>https://www.medzell.net/company/lars-medicare-pvt-ltd/</t>
        </is>
      </c>
      <c r="Q229" t="n">
        <v>10</v>
      </c>
      <c r="R229">
        <f>IF(Q229="","",IF(Q229&gt;=60,"HIGH",IF(Q229&gt;=30,"MEDIUM","LOW")))</f>
        <v/>
      </c>
      <c r="S229" t="inlineStr">
        <is>
          <t>New</t>
        </is>
      </c>
      <c r="T229" t="inlineStr">
        <is>
          <t>2026-03-05</t>
        </is>
      </c>
      <c r="U229" t="inlineStr">
        <is>
          <t>Seed=Medzell; Seed-file: output/medzell_company_urls.txt</t>
        </is>
      </c>
    </row>
    <row r="230">
      <c r="A230" t="n">
        <v>229</v>
      </c>
      <c r="B230" t="inlineStr">
        <is>
          <t>High-Quality Medical Devices for Healthcare Facilities | Leelavathy Medical Devices Company</t>
        </is>
      </c>
      <c r="C230" t="inlineStr"/>
      <c r="D230" t="inlineStr">
        <is>
          <t>Manufacturer</t>
        </is>
      </c>
      <c r="E230" t="inlineStr">
        <is>
          <t>PPE</t>
        </is>
      </c>
      <c r="F230" t="inlineStr">
        <is>
          <t>Wound Care, Catheters, Lab Consumables, Syringes &amp; Needles, IV Infusion Sets, Gauze &amp; Bandages, Disinfectants, IV Cannulas</t>
        </is>
      </c>
      <c r="G230" t="inlineStr"/>
      <c r="H230" t="inlineStr">
        <is>
          <t>https://www.medzell.net/main-categories-application/therapeutic-devices/</t>
        </is>
      </c>
      <c r="I230" t="inlineStr">
        <is>
          <t>lmdcsales@gmail.com</t>
        </is>
      </c>
      <c r="L230" t="inlineStr">
        <is>
          <t>Stated</t>
        </is>
      </c>
      <c r="M230" t="inlineStr"/>
      <c r="N230" t="inlineStr">
        <is>
          <t>GMP, TUV</t>
        </is>
      </c>
      <c r="O230" t="inlineStr">
        <is>
          <t>https://www.medzell.net/company/leelavathy-medical-devices-company/</t>
        </is>
      </c>
      <c r="Q230" t="n">
        <v>30</v>
      </c>
      <c r="R230">
        <f>IF(Q230="","",IF(Q230&gt;=60,"HIGH",IF(Q230&gt;=30,"MEDIUM","LOW")))</f>
        <v/>
      </c>
      <c r="S230" t="inlineStr">
        <is>
          <t>New</t>
        </is>
      </c>
      <c r="T230" t="inlineStr">
        <is>
          <t>2026-03-05</t>
        </is>
      </c>
      <c r="U230" t="inlineStr">
        <is>
          <t>Seed=Medzell; Seed-file: output/medzell_company_urls.txt</t>
        </is>
      </c>
    </row>
    <row r="231">
      <c r="A231" t="n">
        <v>230</v>
      </c>
      <c r="B231" t="inlineStr">
        <is>
          <t>Levram Lifesciences Pvt. Ltd. - Leading Manufacturer &amp; Exporter of Blood Collection Tubes in India</t>
        </is>
      </c>
      <c r="C231" t="inlineStr"/>
      <c r="D231" t="inlineStr">
        <is>
          <t>Manufacturer</t>
        </is>
      </c>
      <c r="E231" t="inlineStr">
        <is>
          <t>PPE</t>
        </is>
      </c>
      <c r="F231" t="inlineStr">
        <is>
          <t>Lab Consumables, Wound Care, Syringes &amp; Needles, IV Infusion Sets, Gauze &amp; Bandages, Disinfectants, IV Cannulas, Catheters</t>
        </is>
      </c>
      <c r="G231" t="inlineStr"/>
      <c r="H231" t="inlineStr">
        <is>
          <t>https://www.medzell.net/main-categories-application/therapeutic-devices/</t>
        </is>
      </c>
      <c r="I231" t="inlineStr">
        <is>
          <t>gaurav@levram.in</t>
        </is>
      </c>
      <c r="L231" t="inlineStr">
        <is>
          <t>Stated</t>
        </is>
      </c>
      <c r="M231" t="inlineStr"/>
      <c r="N231" t="inlineStr">
        <is>
          <t>GMP, TUV</t>
        </is>
      </c>
      <c r="O231" t="inlineStr">
        <is>
          <t>https://www.medzell.net/company/levram-lifesciences-pvt-ltd/</t>
        </is>
      </c>
      <c r="Q231" t="n">
        <v>10</v>
      </c>
      <c r="R231">
        <f>IF(Q231="","",IF(Q231&gt;=60,"HIGH",IF(Q231&gt;=30,"MEDIUM","LOW")))</f>
        <v/>
      </c>
      <c r="S231" t="inlineStr">
        <is>
          <t>New</t>
        </is>
      </c>
      <c r="T231" t="inlineStr">
        <is>
          <t>2026-03-05</t>
        </is>
      </c>
      <c r="U231" t="inlineStr">
        <is>
          <t>Seed=Medzell; Seed-file: output/medzell_company_urls.txt</t>
        </is>
      </c>
    </row>
    <row r="232">
      <c r="A232" t="n">
        <v>231</v>
      </c>
      <c r="B232" t="inlineStr">
        <is>
          <t>Top Medical Ventilators Manufacturer | Life Line Biz Pvt. Ltd.</t>
        </is>
      </c>
      <c r="C232" t="inlineStr"/>
      <c r="D232" t="inlineStr">
        <is>
          <t>Manufacturer</t>
        </is>
      </c>
      <c r="E232" t="inlineStr">
        <is>
          <t>PPE</t>
        </is>
      </c>
      <c r="F232" t="inlineStr">
        <is>
          <t>Wound Care, Lab Consumables, Syringes &amp; Needles, IV Infusion Sets, Gauze &amp; Bandages, Disinfectants, IV Cannulas, Catheters</t>
        </is>
      </c>
      <c r="G232" t="inlineStr"/>
      <c r="H232" t="inlineStr">
        <is>
          <t>https://www.medzell.net/main-categories-application/therapeutic-devices/</t>
        </is>
      </c>
      <c r="I232" t="inlineStr">
        <is>
          <t>aum@lifelinebiz.com</t>
        </is>
      </c>
      <c r="L232" t="inlineStr">
        <is>
          <t>Stated</t>
        </is>
      </c>
      <c r="M232" t="inlineStr"/>
      <c r="N232" t="inlineStr">
        <is>
          <t>BV, TUV</t>
        </is>
      </c>
      <c r="O232" t="inlineStr">
        <is>
          <t>https://www.medzell.net/company/life-line-biz-pvt-ltd/</t>
        </is>
      </c>
      <c r="Q232" t="n">
        <v>10</v>
      </c>
      <c r="R232">
        <f>IF(Q232="","",IF(Q232&gt;=60,"HIGH",IF(Q232&gt;=30,"MEDIUM","LOW")))</f>
        <v/>
      </c>
      <c r="S232" t="inlineStr">
        <is>
          <t>New</t>
        </is>
      </c>
      <c r="T232" t="inlineStr">
        <is>
          <t>2026-03-05</t>
        </is>
      </c>
      <c r="U232" t="inlineStr">
        <is>
          <t>Seed=Medzell; Seed-file: output/medzell_company_urls.txt</t>
        </is>
      </c>
    </row>
    <row r="233">
      <c r="A233" t="n">
        <v>232</v>
      </c>
      <c r="B233" t="inlineStr">
        <is>
          <t>Leading Manufacturer and Global Supplier of Medical Furniture - Life Medical Systems</t>
        </is>
      </c>
      <c r="C233" t="inlineStr"/>
      <c r="D233" t="inlineStr">
        <is>
          <t>Manufacturer</t>
        </is>
      </c>
      <c r="E233" t="inlineStr">
        <is>
          <t>PPE</t>
        </is>
      </c>
      <c r="F233" t="inlineStr">
        <is>
          <t>Wound Care, Lab Consumables, Syringes &amp; Needles, IV Infusion Sets, Gauze &amp; Bandages, Disinfectants, IV Cannulas, Catheters</t>
        </is>
      </c>
      <c r="G233" t="inlineStr"/>
      <c r="H233" t="inlineStr">
        <is>
          <t>https://www.medzell.net/main-categories-application/therapeutic-devices/</t>
        </is>
      </c>
      <c r="I233" t="inlineStr">
        <is>
          <t>lifemedicalsystems@yahoo.com</t>
        </is>
      </c>
      <c r="L233" t="inlineStr">
        <is>
          <t>Stated</t>
        </is>
      </c>
      <c r="M233" t="inlineStr"/>
      <c r="N233" t="inlineStr">
        <is>
          <t>TUV</t>
        </is>
      </c>
      <c r="O233" t="inlineStr">
        <is>
          <t>https://www.medzell.net/company/life-medical-systems/</t>
        </is>
      </c>
      <c r="Q233" t="n">
        <v>30</v>
      </c>
      <c r="R233">
        <f>IF(Q233="","",IF(Q233&gt;=60,"HIGH",IF(Q233&gt;=30,"MEDIUM","LOW")))</f>
        <v/>
      </c>
      <c r="S233" t="inlineStr">
        <is>
          <t>New</t>
        </is>
      </c>
      <c r="T233" t="inlineStr">
        <is>
          <t>2026-03-05</t>
        </is>
      </c>
      <c r="U233" t="inlineStr">
        <is>
          <t>Seed=Medzell; Seed-file: output/medzell_company_urls.txt</t>
        </is>
      </c>
    </row>
    <row r="234">
      <c r="A234" t="n">
        <v>233</v>
      </c>
      <c r="B234" t="inlineStr">
        <is>
          <t>Trusted Manufacturer and Global Supplier of Top-of-the-Line Medical Equipment - Life Support Systems</t>
        </is>
      </c>
      <c r="C234" t="inlineStr"/>
      <c r="D234" t="inlineStr">
        <is>
          <t>Manufacturer</t>
        </is>
      </c>
      <c r="E234" t="inlineStr">
        <is>
          <t>PPE</t>
        </is>
      </c>
      <c r="F234" t="inlineStr">
        <is>
          <t>Wound Care, Lab Consumables, Syringes &amp; Needles, IV Infusion Sets, Catheters, Gauze &amp; Bandages, Disinfectants, IV Cannulas</t>
        </is>
      </c>
      <c r="G234" t="inlineStr"/>
      <c r="H234" t="inlineStr">
        <is>
          <t>https://www.medzell.net/main-categories-application/therapeutic-devices/</t>
        </is>
      </c>
      <c r="I234" t="inlineStr">
        <is>
          <t>info.lifesupport@gmail.com</t>
        </is>
      </c>
      <c r="L234" t="inlineStr"/>
      <c r="M234" t="inlineStr"/>
      <c r="N234" t="inlineStr">
        <is>
          <t>TUV</t>
        </is>
      </c>
      <c r="O234" t="inlineStr">
        <is>
          <t>https://www.medzell.net/company/life-support-systems/</t>
        </is>
      </c>
      <c r="Q234" t="n">
        <v>45</v>
      </c>
      <c r="R234">
        <f>IF(Q234="","",IF(Q234&gt;=60,"HIGH",IF(Q234&gt;=30,"MEDIUM","LOW")))</f>
        <v/>
      </c>
      <c r="S234" t="inlineStr">
        <is>
          <t>New</t>
        </is>
      </c>
      <c r="T234" t="inlineStr">
        <is>
          <t>2026-03-05</t>
        </is>
      </c>
      <c r="U234" t="inlineStr">
        <is>
          <t>Seed=Medzell; Seed-file: output/medzell_company_urls.txt</t>
        </is>
      </c>
    </row>
    <row r="235">
      <c r="A235" t="n">
        <v>234</v>
      </c>
      <c r="B235" t="inlineStr">
        <is>
          <t>Longing Health Limited: Global Manufacturer of Medical Devices &amp; Healthcare Products</t>
        </is>
      </c>
      <c r="C235" t="inlineStr"/>
      <c r="D235" t="inlineStr">
        <is>
          <t>Manufacturer</t>
        </is>
      </c>
      <c r="E235" t="inlineStr">
        <is>
          <t>PPE</t>
        </is>
      </c>
      <c r="F235" t="inlineStr">
        <is>
          <t>Wound Care, Lab Consumables, Syringes &amp; Needles, IV Infusion Sets, Gauze &amp; Bandages, Disinfectants, IV Cannulas, Catheters</t>
        </is>
      </c>
      <c r="G235" t="inlineStr"/>
      <c r="H235" t="inlineStr">
        <is>
          <t>https://www.medzell.net/main-categories-application/therapeutic-devices/</t>
        </is>
      </c>
      <c r="I235" t="inlineStr">
        <is>
          <t>nikki@longinghealth.com</t>
        </is>
      </c>
      <c r="L235" t="inlineStr">
        <is>
          <t>Stated</t>
        </is>
      </c>
      <c r="M235" t="inlineStr"/>
      <c r="N235" t="inlineStr">
        <is>
          <t>FDA, TUV</t>
        </is>
      </c>
      <c r="O235" t="inlineStr">
        <is>
          <t>https://www.medzell.net/company/longing-health-ltd/</t>
        </is>
      </c>
      <c r="Q235" t="n">
        <v>10</v>
      </c>
      <c r="R235">
        <f>IF(Q235="","",IF(Q235&gt;=60,"HIGH",IF(Q235&gt;=30,"MEDIUM","LOW")))</f>
        <v/>
      </c>
      <c r="S235" t="inlineStr">
        <is>
          <t>New</t>
        </is>
      </c>
      <c r="T235" t="inlineStr">
        <is>
          <t>2026-03-05</t>
        </is>
      </c>
      <c r="U235" t="inlineStr">
        <is>
          <t>Seed=Medzell; Seed-file: output/medzell_company_urls.txt</t>
        </is>
      </c>
    </row>
    <row r="236">
      <c r="A236" t="n">
        <v>235</v>
      </c>
      <c r="B236" t="inlineStr">
        <is>
          <t>Lotus Med Instruments – Precision Surgical &amp; Cosmetic Instruments Manufacturer</t>
        </is>
      </c>
      <c r="C236" t="inlineStr"/>
      <c r="D236" t="inlineStr">
        <is>
          <t>Manufacturer</t>
        </is>
      </c>
      <c r="E236" t="inlineStr">
        <is>
          <t>PPE</t>
        </is>
      </c>
      <c r="F236" t="inlineStr">
        <is>
          <t>Wound Care, Lab Consumables, Syringes &amp; Needles, IV Infusion Sets, Gauze &amp; Bandages, Disinfectants, IV Cannulas, Catheters</t>
        </is>
      </c>
      <c r="G236" t="inlineStr"/>
      <c r="H236" t="inlineStr">
        <is>
          <t>https://www.medzell.net/main-categories-application/therapeutic-devices/</t>
        </is>
      </c>
      <c r="I236" t="inlineStr">
        <is>
          <t>Lotusmedinst@gmail.com</t>
        </is>
      </c>
      <c r="L236" t="inlineStr">
        <is>
          <t>Stated</t>
        </is>
      </c>
      <c r="M236" t="inlineStr"/>
      <c r="N236" t="inlineStr">
        <is>
          <t>FDA, TUV</t>
        </is>
      </c>
      <c r="O236" t="inlineStr">
        <is>
          <t>https://www.medzell.net/company/lotusmed-instruments/</t>
        </is>
      </c>
      <c r="Q236" t="n">
        <v>30</v>
      </c>
      <c r="R236">
        <f>IF(Q236="","",IF(Q236&gt;=60,"HIGH",IF(Q236&gt;=30,"MEDIUM","LOW")))</f>
        <v/>
      </c>
      <c r="S236" t="inlineStr">
        <is>
          <t>New</t>
        </is>
      </c>
      <c r="T236" t="inlineStr">
        <is>
          <t>2026-03-05</t>
        </is>
      </c>
      <c r="U236" t="inlineStr">
        <is>
          <t>Seed=Medzell; Seed-file: output/medzell_company_urls.txt</t>
        </is>
      </c>
    </row>
    <row r="237">
      <c r="A237" t="n">
        <v>236</v>
      </c>
      <c r="B237" t="inlineStr">
        <is>
          <t>Premier Manufacturer and Global Supplier of ECG Paper, Thermal Paper Rolls, and More - Maddala Technologies</t>
        </is>
      </c>
      <c r="C237" t="inlineStr"/>
      <c r="D237" t="inlineStr">
        <is>
          <t>Manufacturer</t>
        </is>
      </c>
      <c r="E237" t="inlineStr">
        <is>
          <t>PPE</t>
        </is>
      </c>
      <c r="F237" t="inlineStr">
        <is>
          <t>Wound Care, Lab Consumables, Syringes &amp; Needles, IV Infusion Sets, Gauze &amp; Bandages, Disinfectants, IV Cannulas, Catheters</t>
        </is>
      </c>
      <c r="G237" t="inlineStr"/>
      <c r="H237" t="inlineStr">
        <is>
          <t>https://www.medzell.net/main-categories-application/therapeutic-devices/</t>
        </is>
      </c>
      <c r="I237" t="inlineStr">
        <is>
          <t>maddalatechnologies2@gmail.com</t>
        </is>
      </c>
      <c r="L237" t="inlineStr"/>
      <c r="M237" t="inlineStr"/>
      <c r="N237" t="inlineStr">
        <is>
          <t>TUV</t>
        </is>
      </c>
      <c r="O237" t="inlineStr">
        <is>
          <t>https://www.medzell.net/company/maddala-technologies/</t>
        </is>
      </c>
      <c r="Q237" t="n">
        <v>45</v>
      </c>
      <c r="R237">
        <f>IF(Q237="","",IF(Q237&gt;=60,"HIGH",IF(Q237&gt;=30,"MEDIUM","LOW")))</f>
        <v/>
      </c>
      <c r="S237" t="inlineStr">
        <is>
          <t>New</t>
        </is>
      </c>
      <c r="T237" t="inlineStr">
        <is>
          <t>2026-03-05</t>
        </is>
      </c>
      <c r="U237" t="inlineStr">
        <is>
          <t>Seed=Medzell; Seed-file: output/medzell_company_urls.txt</t>
        </is>
      </c>
    </row>
    <row r="238">
      <c r="A238" t="n">
        <v>237</v>
      </c>
      <c r="B238" t="inlineStr">
        <is>
          <t>MAIS INDIA MEDICAL DEVICES: Affordable &amp; High-Quality Medical Supplies | Medzell B2B Platform</t>
        </is>
      </c>
      <c r="C238" t="inlineStr"/>
      <c r="D238" t="inlineStr">
        <is>
          <t>Manufacturer</t>
        </is>
      </c>
      <c r="E238" t="inlineStr">
        <is>
          <t>PPE</t>
        </is>
      </c>
      <c r="F238" t="inlineStr">
        <is>
          <t>Wound Care, Lab Consumables, Syringes &amp; Needles, IV Infusion Sets, Catheters, Gauze &amp; Bandages, Disinfectants, IV Cannulas</t>
        </is>
      </c>
      <c r="G238" t="inlineStr"/>
      <c r="H238" t="inlineStr">
        <is>
          <t>https://www.medzell.net/main-categories-application/therapeutic-devices/</t>
        </is>
      </c>
      <c r="I238" t="inlineStr">
        <is>
          <t>Int.sales3@maisindia.in</t>
        </is>
      </c>
      <c r="L238" t="inlineStr"/>
      <c r="M238" t="inlineStr"/>
      <c r="N238" t="inlineStr">
        <is>
          <t>TUV</t>
        </is>
      </c>
      <c r="O238" t="inlineStr">
        <is>
          <t>https://www.medzell.net/company/mais-india-medical-devices/</t>
        </is>
      </c>
      <c r="Q238" t="n">
        <v>25</v>
      </c>
      <c r="R238">
        <f>IF(Q238="","",IF(Q238&gt;=60,"HIGH",IF(Q238&gt;=30,"MEDIUM","LOW")))</f>
        <v/>
      </c>
      <c r="S238" t="inlineStr">
        <is>
          <t>New</t>
        </is>
      </c>
      <c r="T238" t="inlineStr">
        <is>
          <t>2026-03-05</t>
        </is>
      </c>
      <c r="U238" t="inlineStr">
        <is>
          <t>Seed=Medzell; Seed-file: output/medzell_company_urls.txt</t>
        </is>
      </c>
    </row>
    <row r="239">
      <c r="A239" t="n">
        <v>238</v>
      </c>
      <c r="B239" t="inlineStr">
        <is>
          <t>Malu Healthcare Pvt. Ltd.: Global Leader in Electrosurgical and Hospital Equipment</t>
        </is>
      </c>
      <c r="C239" t="inlineStr"/>
      <c r="D239" t="inlineStr">
        <is>
          <t>Manufacturer</t>
        </is>
      </c>
      <c r="E239" t="inlineStr">
        <is>
          <t>PPE</t>
        </is>
      </c>
      <c r="F239" t="inlineStr">
        <is>
          <t>Wound Care, Lab Consumables, Syringes &amp; Needles, IV Infusion Sets, Gauze &amp; Bandages, Disinfectants, IV Cannulas, Catheters</t>
        </is>
      </c>
      <c r="G239" t="inlineStr"/>
      <c r="H239" t="inlineStr">
        <is>
          <t>https://www.medzell.net/main-categories-application/therapeutic-devices/</t>
        </is>
      </c>
      <c r="I239" t="inlineStr">
        <is>
          <t>info@maluhealthcare.com</t>
        </is>
      </c>
      <c r="L239" t="inlineStr">
        <is>
          <t>Stated</t>
        </is>
      </c>
      <c r="M239" t="inlineStr">
        <is>
          <t>Stated</t>
        </is>
      </c>
      <c r="N239" t="inlineStr">
        <is>
          <t>TUV</t>
        </is>
      </c>
      <c r="O239" t="inlineStr">
        <is>
          <t>https://www.medzell.net/company/malu-healthcare-pvt-ltd/</t>
        </is>
      </c>
      <c r="Q239" t="n">
        <v>0</v>
      </c>
      <c r="R239">
        <f>IF(Q239="","",IF(Q239&gt;=60,"HIGH",IF(Q239&gt;=30,"MEDIUM","LOW")))</f>
        <v/>
      </c>
      <c r="S239" t="inlineStr">
        <is>
          <t>New</t>
        </is>
      </c>
      <c r="T239" t="inlineStr">
        <is>
          <t>2026-03-05</t>
        </is>
      </c>
      <c r="U239" t="inlineStr">
        <is>
          <t>Seed=Medzell; Seed-file: output/medzell_company_urls.txt</t>
        </is>
      </c>
    </row>
    <row r="240">
      <c r="A240" t="n">
        <v>239</v>
      </c>
      <c r="B240" t="inlineStr">
        <is>
          <t>Excellence in Healthcare Glove Manufacturing: Mariya Healthcare' MerrilPlus</t>
        </is>
      </c>
      <c r="C240" t="inlineStr"/>
      <c r="D240" t="inlineStr">
        <is>
          <t>Manufacturer</t>
        </is>
      </c>
      <c r="E240" t="inlineStr">
        <is>
          <t>PPE</t>
        </is>
      </c>
      <c r="F240" t="inlineStr">
        <is>
          <t>Wound Care, Lab Consumables, Syringes &amp; Needles, IV Infusion Sets, Gloves, Gauze &amp; Bandages, Disinfectants, IV Cannulas, Catheters</t>
        </is>
      </c>
      <c r="G240" t="inlineStr"/>
      <c r="H240" t="inlineStr">
        <is>
          <t>https://www.medzell.net/main-categories-application/therapeutic-devices/</t>
        </is>
      </c>
      <c r="I240" t="inlineStr">
        <is>
          <t>mariahealthcare@gmail.com</t>
        </is>
      </c>
      <c r="L240" t="inlineStr">
        <is>
          <t>Stated</t>
        </is>
      </c>
      <c r="M240" t="inlineStr"/>
      <c r="N240" t="inlineStr">
        <is>
          <t>TUV</t>
        </is>
      </c>
      <c r="O240" t="inlineStr">
        <is>
          <t>https://www.medzell.net/company/mariya-healthcare-pvt-ltd/</t>
        </is>
      </c>
      <c r="Q240" t="n">
        <v>30</v>
      </c>
      <c r="R240">
        <f>IF(Q240="","",IF(Q240&gt;=60,"HIGH",IF(Q240&gt;=30,"MEDIUM","LOW")))</f>
        <v/>
      </c>
      <c r="S240" t="inlineStr">
        <is>
          <t>New</t>
        </is>
      </c>
      <c r="T240" t="inlineStr">
        <is>
          <t>2026-03-05</t>
        </is>
      </c>
      <c r="U240" t="inlineStr">
        <is>
          <t>Seed=Medzell; Seed-file: output/medzell_company_urls.txt</t>
        </is>
      </c>
    </row>
    <row r="241">
      <c r="A241" t="n">
        <v>240</v>
      </c>
      <c r="B241" t="inlineStr">
        <is>
          <t>Advancing Healthcare Excellence: Life Inject Brand of Syringes, Needles &amp; Infusion Sets</t>
        </is>
      </c>
      <c r="C241" t="inlineStr"/>
      <c r="D241" t="inlineStr">
        <is>
          <t>Manufacturer</t>
        </is>
      </c>
      <c r="E241" t="inlineStr">
        <is>
          <t>PPE</t>
        </is>
      </c>
      <c r="F241" t="inlineStr">
        <is>
          <t>Wound Care, Syringes &amp; Needles, IV Infusion Sets, Lab Consumables, Gauze &amp; Bandages, Disinfectants, IV Cannulas, Catheters</t>
        </is>
      </c>
      <c r="G241" t="inlineStr"/>
      <c r="H241" t="inlineStr">
        <is>
          <t>https://www.medzell.net/main-categories-application/therapeutic-devices/</t>
        </is>
      </c>
      <c r="I241" t="inlineStr">
        <is>
          <t>marketing@marutimeditech.com</t>
        </is>
      </c>
      <c r="L241" t="inlineStr">
        <is>
          <t>Stated</t>
        </is>
      </c>
      <c r="M241" t="inlineStr"/>
      <c r="N241" t="inlineStr">
        <is>
          <t>GMP, TUV</t>
        </is>
      </c>
      <c r="O241" t="inlineStr">
        <is>
          <t>https://www.medzell.net/company/maruti-meditech-pvt-ltd/</t>
        </is>
      </c>
      <c r="Q241" t="n">
        <v>10</v>
      </c>
      <c r="R241">
        <f>IF(Q241="","",IF(Q241&gt;=60,"HIGH",IF(Q241&gt;=30,"MEDIUM","LOW")))</f>
        <v/>
      </c>
      <c r="S241" t="inlineStr">
        <is>
          <t>New</t>
        </is>
      </c>
      <c r="T241" t="inlineStr">
        <is>
          <t>2026-03-05</t>
        </is>
      </c>
      <c r="U241" t="inlineStr">
        <is>
          <t>Seed=Medzell; Seed-file: output/medzell_company_urls.txt</t>
        </is>
      </c>
    </row>
    <row r="242">
      <c r="A242" t="n">
        <v>241</v>
      </c>
      <c r="B242" t="inlineStr">
        <is>
          <t>Leading Manufacturer of Medical Devices in India | Matrix Medicals Pvt. Ltd.</t>
        </is>
      </c>
      <c r="C242" t="inlineStr"/>
      <c r="D242" t="inlineStr">
        <is>
          <t>Manufacturer</t>
        </is>
      </c>
      <c r="E242" t="inlineStr">
        <is>
          <t>PPE</t>
        </is>
      </c>
      <c r="F242" t="inlineStr">
        <is>
          <t>Wound Care, Lab Consumables, Syringes &amp; Needles, IV Infusion Sets, Gauze &amp; Bandages, Disinfectants, IV Cannulas, Catheters</t>
        </is>
      </c>
      <c r="G242" t="inlineStr"/>
      <c r="H242" t="inlineStr">
        <is>
          <t>https://www.medzell.net/main-categories-application/therapeutic-devices/</t>
        </is>
      </c>
      <c r="I242" t="inlineStr">
        <is>
          <t>suresh.malunjkar@gmail.com</t>
        </is>
      </c>
      <c r="L242" t="inlineStr">
        <is>
          <t>Stated</t>
        </is>
      </c>
      <c r="M242" t="inlineStr"/>
      <c r="N242" t="inlineStr">
        <is>
          <t>TUV</t>
        </is>
      </c>
      <c r="O242" t="inlineStr">
        <is>
          <t>https://www.medzell.net/company/matrix-medicals-pvt-ltd/</t>
        </is>
      </c>
      <c r="Q242" t="n">
        <v>30</v>
      </c>
      <c r="R242">
        <f>IF(Q242="","",IF(Q242&gt;=60,"HIGH",IF(Q242&gt;=30,"MEDIUM","LOW")))</f>
        <v/>
      </c>
      <c r="S242" t="inlineStr">
        <is>
          <t>New</t>
        </is>
      </c>
      <c r="T242" t="inlineStr">
        <is>
          <t>2026-03-05</t>
        </is>
      </c>
      <c r="U242" t="inlineStr">
        <is>
          <t>Seed=Medzell; Seed-file: output/medzell_company_urls.txt</t>
        </is>
      </c>
    </row>
    <row r="243">
      <c r="A243" t="n">
        <v>242</v>
      </c>
      <c r="B243" t="inlineStr">
        <is>
          <t>MB Plastic Industries: Leading Manufacturer of Blood Collection, Culture Tube and other Labware</t>
        </is>
      </c>
      <c r="C243" t="inlineStr"/>
      <c r="D243" t="inlineStr">
        <is>
          <t>Manufacturer</t>
        </is>
      </c>
      <c r="E243" t="inlineStr">
        <is>
          <t>Lab Consumables</t>
        </is>
      </c>
      <c r="F243" t="inlineStr">
        <is>
          <t>PPE, Wound Care, Syringes &amp; Needles, IV Infusion Sets, Gauze &amp; Bandages, Disinfectants, IV Cannulas, Catheters</t>
        </is>
      </c>
      <c r="G243" t="inlineStr"/>
      <c r="H243" t="inlineStr">
        <is>
          <t>https://www.medzell.net/main-categories-application/therapeutic-devices/</t>
        </is>
      </c>
      <c r="I243" t="inlineStr">
        <is>
          <t>sales@mbplastic.com</t>
        </is>
      </c>
      <c r="L243" t="inlineStr">
        <is>
          <t>Stated</t>
        </is>
      </c>
      <c r="M243" t="inlineStr"/>
      <c r="N243" t="inlineStr">
        <is>
          <t>TUV</t>
        </is>
      </c>
      <c r="O243" t="inlineStr">
        <is>
          <t>https://www.medzell.net/company/mb-plastic-industries/</t>
        </is>
      </c>
      <c r="Q243" t="n">
        <v>10</v>
      </c>
      <c r="R243">
        <f>IF(Q243="","",IF(Q243&gt;=60,"HIGH",IF(Q243&gt;=30,"MEDIUM","LOW")))</f>
        <v/>
      </c>
      <c r="S243" t="inlineStr">
        <is>
          <t>New</t>
        </is>
      </c>
      <c r="T243" t="inlineStr">
        <is>
          <t>2026-03-05</t>
        </is>
      </c>
      <c r="U243" t="inlineStr">
        <is>
          <t>Seed=Medzell; Seed-file: output/medzell_company_urls.txt</t>
        </is>
      </c>
    </row>
    <row r="244">
      <c r="A244" t="n">
        <v>243</v>
      </c>
      <c r="B244" t="inlineStr">
        <is>
          <t>Top Manufacturer and Supplier of Medical Instruments in India - Medcity Surgicals</t>
        </is>
      </c>
      <c r="C244" t="inlineStr"/>
      <c r="D244" t="inlineStr">
        <is>
          <t>Manufacturer</t>
        </is>
      </c>
      <c r="E244" t="inlineStr">
        <is>
          <t>PPE</t>
        </is>
      </c>
      <c r="F244" t="inlineStr">
        <is>
          <t>Wound Care, Lab Consumables, Syringes &amp; Needles, IV Infusion Sets, Gauze &amp; Bandages, Disinfectants, IV Cannulas, Catheters</t>
        </is>
      </c>
      <c r="G244" t="inlineStr"/>
      <c r="H244" t="inlineStr">
        <is>
          <t>https://www.medzell.net/main-categories-application/therapeutic-devices/</t>
        </is>
      </c>
      <c r="I244" t="inlineStr">
        <is>
          <t>medcitysurgicals@gmail.com</t>
        </is>
      </c>
      <c r="L244" t="inlineStr"/>
      <c r="M244" t="inlineStr"/>
      <c r="N244" t="inlineStr">
        <is>
          <t>TUV</t>
        </is>
      </c>
      <c r="O244" t="inlineStr">
        <is>
          <t>https://www.medzell.net/company/medcity-surgicals/</t>
        </is>
      </c>
      <c r="Q244" t="n">
        <v>45</v>
      </c>
      <c r="R244">
        <f>IF(Q244="","",IF(Q244&gt;=60,"HIGH",IF(Q244&gt;=30,"MEDIUM","LOW")))</f>
        <v/>
      </c>
      <c r="S244" t="inlineStr">
        <is>
          <t>New</t>
        </is>
      </c>
      <c r="T244" t="inlineStr">
        <is>
          <t>2026-03-05</t>
        </is>
      </c>
      <c r="U244" t="inlineStr">
        <is>
          <t>Seed=Medzell; Seed-file: output/medzell_company_urls.txt</t>
        </is>
      </c>
    </row>
    <row r="245">
      <c r="A245" t="n">
        <v>244</v>
      </c>
      <c r="B245" t="inlineStr">
        <is>
          <t>MedeAssist Solutions: Leading Provider of B2B Smart Pill Box</t>
        </is>
      </c>
      <c r="C245" t="inlineStr"/>
      <c r="D245" t="inlineStr">
        <is>
          <t>Manufacturer</t>
        </is>
      </c>
      <c r="E245" t="inlineStr">
        <is>
          <t>PPE</t>
        </is>
      </c>
      <c r="F245" t="inlineStr">
        <is>
          <t>Wound Care, Lab Consumables, Syringes &amp; Needles, IV Infusion Sets, Gauze &amp; Bandages, Disinfectants, IV Cannulas, Catheters</t>
        </is>
      </c>
      <c r="G245" t="inlineStr"/>
      <c r="H245" t="inlineStr">
        <is>
          <t>https://www.medzell.net/main-categories-application/therapeutic-devices/</t>
        </is>
      </c>
      <c r="I245" t="inlineStr">
        <is>
          <t>swati.padalia@dosetap.com</t>
        </is>
      </c>
      <c r="L245" t="inlineStr"/>
      <c r="M245" t="inlineStr"/>
      <c r="N245" t="inlineStr">
        <is>
          <t>TUV</t>
        </is>
      </c>
      <c r="O245" t="inlineStr">
        <is>
          <t>https://www.medzell.net/company/medeassist-solutions-private-limited/</t>
        </is>
      </c>
      <c r="Q245" t="n">
        <v>25</v>
      </c>
      <c r="R245">
        <f>IF(Q245="","",IF(Q245&gt;=60,"HIGH",IF(Q245&gt;=30,"MEDIUM","LOW")))</f>
        <v/>
      </c>
      <c r="S245" t="inlineStr">
        <is>
          <t>New</t>
        </is>
      </c>
      <c r="T245" t="inlineStr">
        <is>
          <t>2026-03-05</t>
        </is>
      </c>
      <c r="U245" t="inlineStr">
        <is>
          <t>Seed=Medzell; Seed-file: output/medzell_company_urls.txt</t>
        </is>
      </c>
    </row>
    <row r="246">
      <c r="A246" t="n">
        <v>245</v>
      </c>
      <c r="B246" t="inlineStr">
        <is>
          <t>Medelec Instruments</t>
        </is>
      </c>
      <c r="C246" t="inlineStr"/>
      <c r="D246" t="inlineStr">
        <is>
          <t>Manufacturer</t>
        </is>
      </c>
      <c r="E246" t="inlineStr">
        <is>
          <t>PPE</t>
        </is>
      </c>
      <c r="F246" t="inlineStr">
        <is>
          <t>Wound Care, Lab Consumables, Syringes &amp; Needles, IV Infusion Sets, Gauze &amp; Bandages, Disinfectants, IV Cannulas, Catheters</t>
        </is>
      </c>
      <c r="G246" t="inlineStr"/>
      <c r="H246" t="inlineStr">
        <is>
          <t>https://www.medzell.net/main-categories-application/therapeutic-devices/</t>
        </is>
      </c>
      <c r="I246" t="inlineStr">
        <is>
          <t>medicaretitan@gmail.com</t>
        </is>
      </c>
      <c r="L246" t="inlineStr">
        <is>
          <t>Stated</t>
        </is>
      </c>
      <c r="M246" t="inlineStr"/>
      <c r="N246" t="inlineStr">
        <is>
          <t>TUV</t>
        </is>
      </c>
      <c r="O246" t="inlineStr">
        <is>
          <t>https://www.medzell.net/company/medelec-instruments/</t>
        </is>
      </c>
      <c r="Q246" t="n">
        <v>30</v>
      </c>
      <c r="R246">
        <f>IF(Q246="","",IF(Q246&gt;=60,"HIGH",IF(Q246&gt;=30,"MEDIUM","LOW")))</f>
        <v/>
      </c>
      <c r="S246" t="inlineStr">
        <is>
          <t>New</t>
        </is>
      </c>
      <c r="T246" t="inlineStr">
        <is>
          <t>2026-03-05</t>
        </is>
      </c>
      <c r="U246" t="inlineStr">
        <is>
          <t>Seed=Medzell; Seed-file: output/medzell_company_urls.txt</t>
        </is>
      </c>
    </row>
    <row r="247">
      <c r="A247" t="n">
        <v>246</v>
      </c>
      <c r="B247" t="inlineStr">
        <is>
          <t>High-Quality Home Healthcare Products | Medequip Healthcare Solutions LLP</t>
        </is>
      </c>
      <c r="C247" t="inlineStr"/>
      <c r="D247" t="inlineStr">
        <is>
          <t>Manufacturer</t>
        </is>
      </c>
      <c r="E247" t="inlineStr">
        <is>
          <t>PPE</t>
        </is>
      </c>
      <c r="F247" t="inlineStr">
        <is>
          <t>Wound Care, Lab Consumables, Syringes &amp; Needles, IV Infusion Sets, Gauze &amp; Bandages, Disinfectants, IV Cannulas, Catheters</t>
        </is>
      </c>
      <c r="G247" t="inlineStr"/>
      <c r="H247" t="inlineStr">
        <is>
          <t>https://www.medzell.net/main-categories-application/therapeutic-devices/</t>
        </is>
      </c>
      <c r="I247" t="inlineStr">
        <is>
          <t>tushar@medequip.co.in</t>
        </is>
      </c>
      <c r="L247" t="inlineStr"/>
      <c r="M247" t="inlineStr"/>
      <c r="N247" t="inlineStr">
        <is>
          <t>FDA, TUV</t>
        </is>
      </c>
      <c r="O247" t="inlineStr">
        <is>
          <t>https://www.medzell.net/company/medequip-healthcare-solutions-llp/</t>
        </is>
      </c>
      <c r="Q247" t="n">
        <v>25</v>
      </c>
      <c r="R247">
        <f>IF(Q247="","",IF(Q247&gt;=60,"HIGH",IF(Q247&gt;=30,"MEDIUM","LOW")))</f>
        <v/>
      </c>
      <c r="S247" t="inlineStr">
        <is>
          <t>New</t>
        </is>
      </c>
      <c r="T247" t="inlineStr">
        <is>
          <t>2026-03-05</t>
        </is>
      </c>
      <c r="U247" t="inlineStr">
        <is>
          <t>Seed=Medzell; Seed-file: output/medzell_company_urls.txt</t>
        </is>
      </c>
    </row>
    <row r="248">
      <c r="A248" t="n">
        <v>247</v>
      </c>
      <c r="B248" t="inlineStr">
        <is>
          <t>MEDEVIS Rubplast – Trusted Global Manufacturer of Urological Catheters &amp; Medical Disposables</t>
        </is>
      </c>
      <c r="C248" t="inlineStr"/>
      <c r="D248" t="inlineStr">
        <is>
          <t>Manufacturer</t>
        </is>
      </c>
      <c r="E248" t="inlineStr">
        <is>
          <t>PPE</t>
        </is>
      </c>
      <c r="F248" t="inlineStr">
        <is>
          <t>Wound Care, Catheters, Lab Consumables, Syringes &amp; Needles, IV Infusion Sets, Gauze &amp; Bandages, Disinfectants, IV Cannulas</t>
        </is>
      </c>
      <c r="G248" t="inlineStr"/>
      <c r="H248" t="inlineStr">
        <is>
          <t>https://www.medzell.net/main-categories-application/therapeutic-devices/</t>
        </is>
      </c>
      <c r="I248" t="inlineStr">
        <is>
          <t>sales@medevis.in</t>
        </is>
      </c>
      <c r="L248" t="inlineStr"/>
      <c r="M248" t="inlineStr"/>
      <c r="N248" t="inlineStr">
        <is>
          <t>GMP, SGS, TUV</t>
        </is>
      </c>
      <c r="O248" t="inlineStr">
        <is>
          <t>https://www.medzell.net/company/medevis-rubplast-india-pvt-ltd/</t>
        </is>
      </c>
      <c r="Q248" t="n">
        <v>25</v>
      </c>
      <c r="R248">
        <f>IF(Q248="","",IF(Q248&gt;=60,"HIGH",IF(Q248&gt;=30,"MEDIUM","LOW")))</f>
        <v/>
      </c>
      <c r="S248" t="inlineStr">
        <is>
          <t>New</t>
        </is>
      </c>
      <c r="T248" t="inlineStr">
        <is>
          <t>2026-03-05</t>
        </is>
      </c>
      <c r="U248" t="inlineStr">
        <is>
          <t>Seed=Medzell; Seed-file: output/medzell_company_urls.txt</t>
        </is>
      </c>
    </row>
    <row r="249">
      <c r="A249" t="n">
        <v>248</v>
      </c>
      <c r="B249" t="inlineStr">
        <is>
          <t>Medglobal Surgical: Top Manufacturer of Medical Supplies &amp; Equipment</t>
        </is>
      </c>
      <c r="C249" t="inlineStr"/>
      <c r="D249" t="inlineStr">
        <is>
          <t>Manufacturer</t>
        </is>
      </c>
      <c r="E249" t="inlineStr">
        <is>
          <t>PPE</t>
        </is>
      </c>
      <c r="F249" t="inlineStr">
        <is>
          <t>Wound Care, Gauze &amp; Bandages, Syringes &amp; Needles, IV Infusion Sets, Disinfectants, Lab Consumables, IV Cannulas, Catheters</t>
        </is>
      </c>
      <c r="G249" t="inlineStr"/>
      <c r="H249" t="inlineStr">
        <is>
          <t>https://www.medzell.net/main-categories-application/therapeutic-devices/</t>
        </is>
      </c>
      <c r="I249" t="inlineStr">
        <is>
          <t>info@medglobalsurgical.com</t>
        </is>
      </c>
      <c r="L249" t="inlineStr">
        <is>
          <t>Stated</t>
        </is>
      </c>
      <c r="M249" t="inlineStr">
        <is>
          <t>Stated</t>
        </is>
      </c>
      <c r="N249" t="inlineStr">
        <is>
          <t>TUV</t>
        </is>
      </c>
      <c r="O249" t="inlineStr">
        <is>
          <t>https://www.medzell.net/company/medglobal-surgical/</t>
        </is>
      </c>
      <c r="Q249" t="n">
        <v>0</v>
      </c>
      <c r="R249">
        <f>IF(Q249="","",IF(Q249&gt;=60,"HIGH",IF(Q249&gt;=30,"MEDIUM","LOW")))</f>
        <v/>
      </c>
      <c r="S249" t="inlineStr">
        <is>
          <t>New</t>
        </is>
      </c>
      <c r="T249" t="inlineStr">
        <is>
          <t>2026-03-05</t>
        </is>
      </c>
      <c r="U249" t="inlineStr">
        <is>
          <t>Seed=Medzell; Seed-file: output/medzell_company_urls.txt</t>
        </is>
      </c>
    </row>
    <row r="250">
      <c r="A250" t="n">
        <v>249</v>
      </c>
      <c r="B250" t="inlineStr">
        <is>
          <t>Medicare Surgicals</t>
        </is>
      </c>
      <c r="C250" t="inlineStr"/>
      <c r="D250" t="inlineStr">
        <is>
          <t>Manufacturer</t>
        </is>
      </c>
      <c r="E250" t="inlineStr">
        <is>
          <t>PPE</t>
        </is>
      </c>
      <c r="F250" t="inlineStr">
        <is>
          <t>Wound Care, Lab Consumables, Syringes &amp; Needles, IV Infusion Sets, Gauze &amp; Bandages, Disinfectants, IV Cannulas, Catheters</t>
        </is>
      </c>
      <c r="G250" t="inlineStr"/>
      <c r="H250" t="inlineStr">
        <is>
          <t>https://www.medzell.net/main-categories-application/therapeutic-devices/</t>
        </is>
      </c>
      <c r="I250" t="inlineStr">
        <is>
          <t>exportmedicaresurgical@gmail.com</t>
        </is>
      </c>
      <c r="L250" t="inlineStr"/>
      <c r="M250" t="inlineStr"/>
      <c r="N250" t="inlineStr">
        <is>
          <t>TUV</t>
        </is>
      </c>
      <c r="O250" t="inlineStr">
        <is>
          <t>https://www.medzell.net/company/medicare-surgicals/</t>
        </is>
      </c>
      <c r="Q250" t="n">
        <v>45</v>
      </c>
      <c r="R250">
        <f>IF(Q250="","",IF(Q250&gt;=60,"HIGH",IF(Q250&gt;=30,"MEDIUM","LOW")))</f>
        <v/>
      </c>
      <c r="S250" t="inlineStr">
        <is>
          <t>New</t>
        </is>
      </c>
      <c r="T250" t="inlineStr">
        <is>
          <t>2026-03-05</t>
        </is>
      </c>
      <c r="U250" t="inlineStr">
        <is>
          <t>Seed=Medzell; Seed-file: output/medzell_company_urls.txt</t>
        </is>
      </c>
    </row>
    <row r="251">
      <c r="A251" t="n">
        <v>250</v>
      </c>
      <c r="B251" t="inlineStr">
        <is>
          <t>Medicaux solutions</t>
        </is>
      </c>
      <c r="C251" t="inlineStr"/>
      <c r="D251" t="inlineStr">
        <is>
          <t>Manufacturer</t>
        </is>
      </c>
      <c r="E251" t="inlineStr">
        <is>
          <t>PPE</t>
        </is>
      </c>
      <c r="F251" t="inlineStr">
        <is>
          <t>Wound Care, Catheters, Lab Consumables, Syringes &amp; Needles, IV Infusion Sets, Gauze &amp; Bandages, Disinfectants, IV Cannulas</t>
        </is>
      </c>
      <c r="G251" t="inlineStr"/>
      <c r="H251" t="inlineStr">
        <is>
          <t>https://www.medzell.net/main-categories-application/therapeutic-devices/</t>
        </is>
      </c>
      <c r="I251" t="inlineStr">
        <is>
          <t>medicauxsolutions@gmail.com</t>
        </is>
      </c>
      <c r="L251" t="inlineStr">
        <is>
          <t>Stated</t>
        </is>
      </c>
      <c r="M251" t="inlineStr">
        <is>
          <t>Stated</t>
        </is>
      </c>
      <c r="N251" t="inlineStr">
        <is>
          <t>TUV</t>
        </is>
      </c>
      <c r="O251" t="inlineStr">
        <is>
          <t>https://www.medzell.net/company/medicaux-solutions/</t>
        </is>
      </c>
      <c r="Q251" t="n">
        <v>20</v>
      </c>
      <c r="R251">
        <f>IF(Q251="","",IF(Q251&gt;=60,"HIGH",IF(Q251&gt;=30,"MEDIUM","LOW")))</f>
        <v/>
      </c>
      <c r="S251" t="inlineStr">
        <is>
          <t>New</t>
        </is>
      </c>
      <c r="T251" t="inlineStr">
        <is>
          <t>2026-03-05</t>
        </is>
      </c>
      <c r="U251" t="inlineStr">
        <is>
          <t>Seed=Medzell; Seed-file: output/medzell_company_urls.txt</t>
        </is>
      </c>
    </row>
    <row r="252">
      <c r="A252" t="n">
        <v>251</v>
      </c>
      <c r="B252" t="inlineStr">
        <is>
          <t>Medikop LifeScience – Innovating Respiratory Care Solutions for Hospitals &amp; Homecare</t>
        </is>
      </c>
      <c r="C252" t="inlineStr"/>
      <c r="D252" t="inlineStr">
        <is>
          <t>Manufacturer</t>
        </is>
      </c>
      <c r="E252" t="inlineStr">
        <is>
          <t>PPE</t>
        </is>
      </c>
      <c r="F252" t="inlineStr">
        <is>
          <t>Wound Care, Lab Consumables, Syringes &amp; Needles, IV Infusion Sets, Gauze &amp; Bandages, Disinfectants, IV Cannulas, Catheters</t>
        </is>
      </c>
      <c r="G252" t="inlineStr"/>
      <c r="H252" t="inlineStr">
        <is>
          <t>https://www.medzell.net/main-categories-application/therapeutic-devices/</t>
        </is>
      </c>
      <c r="I252" t="inlineStr">
        <is>
          <t>exim@medikoplifescience.in</t>
        </is>
      </c>
      <c r="L252" t="inlineStr">
        <is>
          <t>Stated</t>
        </is>
      </c>
      <c r="M252" t="inlineStr">
        <is>
          <t>Stated</t>
        </is>
      </c>
      <c r="N252" t="inlineStr">
        <is>
          <t>GMP, TUV</t>
        </is>
      </c>
      <c r="O252" t="inlineStr">
        <is>
          <t>https://www.medzell.net/company/medikop-life-science/</t>
        </is>
      </c>
      <c r="Q252" t="n">
        <v>0</v>
      </c>
      <c r="R252">
        <f>IF(Q252="","",IF(Q252&gt;=60,"HIGH",IF(Q252&gt;=30,"MEDIUM","LOW")))</f>
        <v/>
      </c>
      <c r="S252" t="inlineStr">
        <is>
          <t>New</t>
        </is>
      </c>
      <c r="T252" t="inlineStr">
        <is>
          <t>2026-03-05</t>
        </is>
      </c>
      <c r="U252" t="inlineStr">
        <is>
          <t>Seed=Medzell; Seed-file: output/medzell_company_urls.txt</t>
        </is>
      </c>
    </row>
    <row r="253">
      <c r="A253" t="n">
        <v>252</v>
      </c>
      <c r="B253" t="inlineStr">
        <is>
          <t>Mediline Engineers: ISO Certified Manufacturer of Medical Gas Pipeline Products &amp; More</t>
        </is>
      </c>
      <c r="C253" t="inlineStr"/>
      <c r="D253" t="inlineStr">
        <is>
          <t>Manufacturer</t>
        </is>
      </c>
      <c r="E253" t="inlineStr">
        <is>
          <t>PPE</t>
        </is>
      </c>
      <c r="F253" t="inlineStr">
        <is>
          <t>Wound Care, Lab Consumables, Syringes &amp; Needles, IV Infusion Sets, Gauze &amp; Bandages, Disinfectants, IV Cannulas, Catheters</t>
        </is>
      </c>
      <c r="G253" t="inlineStr"/>
      <c r="H253" t="inlineStr">
        <is>
          <t>https://www.medzell.net/main-categories-application/therapeutic-devices/</t>
        </is>
      </c>
      <c r="I253" t="inlineStr">
        <is>
          <t>mediline10@gmail.com</t>
        </is>
      </c>
      <c r="L253" t="inlineStr"/>
      <c r="M253" t="inlineStr"/>
      <c r="N253" t="inlineStr">
        <is>
          <t>TUV</t>
        </is>
      </c>
      <c r="O253" t="inlineStr">
        <is>
          <t>https://www.medzell.net/company/mediline-engineers/</t>
        </is>
      </c>
      <c r="Q253" t="n">
        <v>45</v>
      </c>
      <c r="R253">
        <f>IF(Q253="","",IF(Q253&gt;=60,"HIGH",IF(Q253&gt;=30,"MEDIUM","LOW")))</f>
        <v/>
      </c>
      <c r="S253" t="inlineStr">
        <is>
          <t>New</t>
        </is>
      </c>
      <c r="T253" t="inlineStr">
        <is>
          <t>2026-03-05</t>
        </is>
      </c>
      <c r="U253" t="inlineStr">
        <is>
          <t>Seed=Medzell; Seed-file: output/medzell_company_urls.txt</t>
        </is>
      </c>
    </row>
    <row r="254">
      <c r="A254" t="n">
        <v>253</v>
      </c>
      <c r="B254" t="inlineStr">
        <is>
          <t>Medinova Endosys: Quality Endoscopy Accessories at Competitive Prices</t>
        </is>
      </c>
      <c r="C254" t="inlineStr"/>
      <c r="D254" t="inlineStr">
        <is>
          <t>Manufacturer</t>
        </is>
      </c>
      <c r="E254" t="inlineStr">
        <is>
          <t>PPE</t>
        </is>
      </c>
      <c r="F254" t="inlineStr">
        <is>
          <t>Wound Care, Lab Consumables, Syringes &amp; Needles, IV Infusion Sets, Gauze &amp; Bandages, Disinfectants, IV Cannulas, Catheters</t>
        </is>
      </c>
      <c r="G254" t="inlineStr"/>
      <c r="H254" t="inlineStr">
        <is>
          <t>https://www.medzell.net/main-categories-application/therapeutic-devices/</t>
        </is>
      </c>
      <c r="I254" t="inlineStr">
        <is>
          <t>sales@medinovaendosys.com</t>
        </is>
      </c>
      <c r="L254" t="inlineStr">
        <is>
          <t>Stated</t>
        </is>
      </c>
      <c r="M254" t="inlineStr"/>
      <c r="N254" t="inlineStr">
        <is>
          <t>TUV</t>
        </is>
      </c>
      <c r="O254" t="inlineStr">
        <is>
          <t>https://www.medzell.net/company/medinova-endosys/</t>
        </is>
      </c>
      <c r="Q254" t="n">
        <v>10</v>
      </c>
      <c r="R254">
        <f>IF(Q254="","",IF(Q254&gt;=60,"HIGH",IF(Q254&gt;=30,"MEDIUM","LOW")))</f>
        <v/>
      </c>
      <c r="S254" t="inlineStr">
        <is>
          <t>New</t>
        </is>
      </c>
      <c r="T254" t="inlineStr">
        <is>
          <t>2026-03-05</t>
        </is>
      </c>
      <c r="U254" t="inlineStr">
        <is>
          <t>Seed=Medzell; Seed-file: output/medzell_company_urls.txt</t>
        </is>
      </c>
    </row>
    <row r="255">
      <c r="A255" t="n">
        <v>254</v>
      </c>
      <c r="B255" t="inlineStr">
        <is>
          <t>Bio-Medical Accessories by Medislon Enterprises: Specializing in ECG Electrodes and More</t>
        </is>
      </c>
      <c r="C255" t="inlineStr"/>
      <c r="D255" t="inlineStr">
        <is>
          <t>Manufacturer</t>
        </is>
      </c>
      <c r="E255" t="inlineStr">
        <is>
          <t>PPE</t>
        </is>
      </c>
      <c r="F255" t="inlineStr">
        <is>
          <t>Wound Care, Lab Consumables, Syringes &amp; Needles, IV Infusion Sets, Gauze &amp; Bandages, Disinfectants, IV Cannulas, Catheters</t>
        </is>
      </c>
      <c r="G255" t="inlineStr"/>
      <c r="H255" t="inlineStr">
        <is>
          <t>https://www.medzell.net/main-categories-application/therapeutic-devices/</t>
        </is>
      </c>
      <c r="I255" t="inlineStr">
        <is>
          <t>medislon2010@gmail.com</t>
        </is>
      </c>
      <c r="L255" t="inlineStr"/>
      <c r="M255" t="inlineStr"/>
      <c r="N255" t="inlineStr">
        <is>
          <t>TUV</t>
        </is>
      </c>
      <c r="O255" t="inlineStr">
        <is>
          <t>https://www.medzell.net/company/medislon-enterprises/</t>
        </is>
      </c>
      <c r="Q255" t="n">
        <v>45</v>
      </c>
      <c r="R255">
        <f>IF(Q255="","",IF(Q255&gt;=60,"HIGH",IF(Q255&gt;=30,"MEDIUM","LOW")))</f>
        <v/>
      </c>
      <c r="S255" t="inlineStr">
        <is>
          <t>New</t>
        </is>
      </c>
      <c r="T255" t="inlineStr">
        <is>
          <t>2026-03-05</t>
        </is>
      </c>
      <c r="U255" t="inlineStr">
        <is>
          <t>Seed=Medzell; Seed-file: output/medzell_company_urls.txt</t>
        </is>
      </c>
    </row>
    <row r="256">
      <c r="A256" t="n">
        <v>255</v>
      </c>
      <c r="B256" t="inlineStr">
        <is>
          <t>MediTech Surgical: Leading Manufacturer &amp; Exporter of High-Quality Hospital Furniture</t>
        </is>
      </c>
      <c r="C256" t="inlineStr"/>
      <c r="D256" t="inlineStr">
        <is>
          <t>Manufacturer</t>
        </is>
      </c>
      <c r="E256" t="inlineStr">
        <is>
          <t>PPE</t>
        </is>
      </c>
      <c r="F256" t="inlineStr">
        <is>
          <t>Wound Care, Lab Consumables, Syringes &amp; Needles, IV Infusion Sets, Gauze &amp; Bandages, Disinfectants, IV Cannulas, Catheters</t>
        </is>
      </c>
      <c r="G256" t="inlineStr"/>
      <c r="H256" t="inlineStr">
        <is>
          <t>https://www.medzell.net/main-categories-application/therapeutic-devices/</t>
        </is>
      </c>
      <c r="I256" t="inlineStr">
        <is>
          <t>meditechsurgical21@gmail.com</t>
        </is>
      </c>
      <c r="L256" t="inlineStr"/>
      <c r="M256" t="inlineStr"/>
      <c r="N256" t="inlineStr">
        <is>
          <t>FDA, TUV</t>
        </is>
      </c>
      <c r="O256" t="inlineStr">
        <is>
          <t>https://www.medzell.net/company/meditech-surgical/</t>
        </is>
      </c>
      <c r="Q256" t="n">
        <v>45</v>
      </c>
      <c r="R256">
        <f>IF(Q256="","",IF(Q256&gt;=60,"HIGH",IF(Q256&gt;=30,"MEDIUM","LOW")))</f>
        <v/>
      </c>
      <c r="S256" t="inlineStr">
        <is>
          <t>New</t>
        </is>
      </c>
      <c r="T256" t="inlineStr">
        <is>
          <t>2026-03-05</t>
        </is>
      </c>
      <c r="U256" t="inlineStr">
        <is>
          <t>Seed=Medzell; Seed-file: output/medzell_company_urls.txt</t>
        </is>
      </c>
    </row>
    <row r="257">
      <c r="A257" t="n">
        <v>256</v>
      </c>
      <c r="B257" t="inlineStr">
        <is>
          <t>Meditrax Equipments | Advanced Medical Imaging &amp; Endoscopy Solutions</t>
        </is>
      </c>
      <c r="C257" t="inlineStr"/>
      <c r="D257" t="inlineStr">
        <is>
          <t>Manufacturer</t>
        </is>
      </c>
      <c r="E257" t="inlineStr">
        <is>
          <t>PPE</t>
        </is>
      </c>
      <c r="F257" t="inlineStr">
        <is>
          <t>Wound Care, Lab Consumables, Syringes &amp; Needles, IV Infusion Sets, Catheters, Gauze &amp; Bandages, Disinfectants, IV Cannulas</t>
        </is>
      </c>
      <c r="G257" t="inlineStr"/>
      <c r="H257" t="inlineStr">
        <is>
          <t>https://www.medzell.net/main-categories-application/therapeutic-devices/</t>
        </is>
      </c>
      <c r="I257" t="inlineStr">
        <is>
          <t>emeditrax@yahoo.com</t>
        </is>
      </c>
      <c r="L257" t="inlineStr">
        <is>
          <t>Stated</t>
        </is>
      </c>
      <c r="M257" t="inlineStr"/>
      <c r="N257" t="inlineStr">
        <is>
          <t>TUV</t>
        </is>
      </c>
      <c r="O257" t="inlineStr">
        <is>
          <t>https://www.medzell.net/company/meditrax-equipments/</t>
        </is>
      </c>
      <c r="Q257" t="n">
        <v>30</v>
      </c>
      <c r="R257">
        <f>IF(Q257="","",IF(Q257&gt;=60,"HIGH",IF(Q257&gt;=30,"MEDIUM","LOW")))</f>
        <v/>
      </c>
      <c r="S257" t="inlineStr">
        <is>
          <t>New</t>
        </is>
      </c>
      <c r="T257" t="inlineStr">
        <is>
          <t>2026-03-05</t>
        </is>
      </c>
      <c r="U257" t="inlineStr">
        <is>
          <t>Seed=Medzell; Seed-file: output/medzell_company_urls.txt</t>
        </is>
      </c>
    </row>
    <row r="258">
      <c r="A258" t="n">
        <v>257</v>
      </c>
      <c r="B258" t="inlineStr">
        <is>
          <t>Medorah Meditek: Enhancing Global Healthcare with Advanced Medical Devices</t>
        </is>
      </c>
      <c r="C258" t="inlineStr"/>
      <c r="D258" t="inlineStr">
        <is>
          <t>Manufacturer</t>
        </is>
      </c>
      <c r="E258" t="inlineStr">
        <is>
          <t>PPE</t>
        </is>
      </c>
      <c r="F258" t="inlineStr">
        <is>
          <t>Wound Care, Lab Consumables, Syringes &amp; Needles, IV Infusion Sets, Gauze &amp; Bandages, Disinfectants, IV Cannulas, Catheters</t>
        </is>
      </c>
      <c r="G258" t="inlineStr"/>
      <c r="H258" t="inlineStr">
        <is>
          <t>https://www.medzell.net/main-categories-application/therapeutic-devices/</t>
        </is>
      </c>
      <c r="I258" t="inlineStr">
        <is>
          <t>bhayana.lovkesh@medorah.com</t>
        </is>
      </c>
      <c r="L258" t="inlineStr">
        <is>
          <t>Stated</t>
        </is>
      </c>
      <c r="M258" t="inlineStr"/>
      <c r="N258" t="inlineStr">
        <is>
          <t>TUV</t>
        </is>
      </c>
      <c r="O258" t="inlineStr">
        <is>
          <t>https://www.medzell.net/company/medorah-meditek-pvt-ltd/</t>
        </is>
      </c>
      <c r="Q258" t="n">
        <v>10</v>
      </c>
      <c r="R258">
        <f>IF(Q258="","",IF(Q258&gt;=60,"HIGH",IF(Q258&gt;=30,"MEDIUM","LOW")))</f>
        <v/>
      </c>
      <c r="S258" t="inlineStr">
        <is>
          <t>New</t>
        </is>
      </c>
      <c r="T258" t="inlineStr">
        <is>
          <t>2026-03-05</t>
        </is>
      </c>
      <c r="U258" t="inlineStr">
        <is>
          <t>Seed=Medzell; Seed-file: output/medzell_company_urls.txt</t>
        </is>
      </c>
    </row>
    <row r="259">
      <c r="A259" t="n">
        <v>258</v>
      </c>
      <c r="B259" t="inlineStr">
        <is>
          <t>Leading Health-Tech Solutions: Audiometers, BiPAP, ECG, and More by MedPrix Trading – Elevate Your Medical Equipment Standards!</t>
        </is>
      </c>
      <c r="C259" t="inlineStr"/>
      <c r="D259" t="inlineStr">
        <is>
          <t>Manufacturer</t>
        </is>
      </c>
      <c r="E259" t="inlineStr">
        <is>
          <t>PPE</t>
        </is>
      </c>
      <c r="F259" t="inlineStr">
        <is>
          <t>Wound Care, Lab Consumables, Syringes &amp; Needles, IV Infusion Sets, Gauze &amp; Bandages, Disinfectants, IV Cannulas, Catheters</t>
        </is>
      </c>
      <c r="G259" t="inlineStr"/>
      <c r="H259" t="inlineStr">
        <is>
          <t>https://www.medzell.net/main-categories-application/therapeutic-devices/</t>
        </is>
      </c>
      <c r="I259" t="inlineStr">
        <is>
          <t>sales@medprix.ae</t>
        </is>
      </c>
      <c r="L259" t="inlineStr"/>
      <c r="M259" t="inlineStr"/>
      <c r="N259" t="inlineStr">
        <is>
          <t>TUV</t>
        </is>
      </c>
      <c r="O259" t="inlineStr">
        <is>
          <t>https://www.medzell.net/company/medprix-trading-co-llc/</t>
        </is>
      </c>
      <c r="Q259" t="n">
        <v>25</v>
      </c>
      <c r="R259">
        <f>IF(Q259="","",IF(Q259&gt;=60,"HIGH",IF(Q259&gt;=30,"MEDIUM","LOW")))</f>
        <v/>
      </c>
      <c r="S259" t="inlineStr">
        <is>
          <t>New</t>
        </is>
      </c>
      <c r="T259" t="inlineStr">
        <is>
          <t>2026-03-05</t>
        </is>
      </c>
      <c r="U259" t="inlineStr">
        <is>
          <t>Seed=Medzell; Seed-file: output/medzell_company_urls.txt</t>
        </is>
      </c>
    </row>
    <row r="260">
      <c r="A260" t="n">
        <v>259</v>
      </c>
      <c r="B260" t="inlineStr">
        <is>
          <t>Top Supplier of Dental and Medical Products | Medtech Remedies Private Limited</t>
        </is>
      </c>
      <c r="C260" t="inlineStr"/>
      <c r="D260" t="inlineStr">
        <is>
          <t>Manufacturer</t>
        </is>
      </c>
      <c r="E260" t="inlineStr">
        <is>
          <t>PPE</t>
        </is>
      </c>
      <c r="F260" t="inlineStr">
        <is>
          <t>Wound Care, Lab Consumables, Syringes &amp; Needles, IV Infusion Sets, Gauze &amp; Bandages, Disinfectants, IV Cannulas, Catheters</t>
        </is>
      </c>
      <c r="G260" t="inlineStr"/>
      <c r="H260" t="inlineStr">
        <is>
          <t>https://www.medzell.net/main-categories-application/therapeutic-devices/</t>
        </is>
      </c>
      <c r="I260" t="inlineStr">
        <is>
          <t>manjunath.kv@med-tech.com</t>
        </is>
      </c>
      <c r="L260" t="inlineStr">
        <is>
          <t>Stated</t>
        </is>
      </c>
      <c r="M260" t="inlineStr"/>
      <c r="N260" t="inlineStr">
        <is>
          <t>TUV</t>
        </is>
      </c>
      <c r="O260" t="inlineStr">
        <is>
          <t>https://www.medzell.net/company/medtech-remedies-private-limited/</t>
        </is>
      </c>
      <c r="Q260" t="n">
        <v>10</v>
      </c>
      <c r="R260">
        <f>IF(Q260="","",IF(Q260&gt;=60,"HIGH",IF(Q260&gt;=30,"MEDIUM","LOW")))</f>
        <v/>
      </c>
      <c r="S260" t="inlineStr">
        <is>
          <t>New</t>
        </is>
      </c>
      <c r="T260" t="inlineStr">
        <is>
          <t>2026-03-05</t>
        </is>
      </c>
      <c r="U260" t="inlineStr">
        <is>
          <t>Seed=Medzell; Seed-file: output/medzell_company_urls.txt</t>
        </is>
      </c>
    </row>
    <row r="261">
      <c r="A261" t="n">
        <v>260</v>
      </c>
      <c r="B261" t="inlineStr">
        <is>
          <t>Mesco Surgical: Leading Manufacturer &amp; Exporter of Surgical and Healthcare Consumables in India</t>
        </is>
      </c>
      <c r="C261" t="inlineStr"/>
      <c r="D261" t="inlineStr">
        <is>
          <t>Manufacturer</t>
        </is>
      </c>
      <c r="E261" t="inlineStr">
        <is>
          <t>IV Infusion Sets</t>
        </is>
      </c>
      <c r="F261" t="inlineStr">
        <is>
          <t>PPE, Wound Care, Catheters, Syringes &amp; Needles, Lab Consumables, Gauze &amp; Bandages, Disinfectants, IV Cannulas</t>
        </is>
      </c>
      <c r="G261" t="inlineStr"/>
      <c r="H261" t="inlineStr">
        <is>
          <t>https://www.medzell.net/main-categories-application/therapeutic-devices/</t>
        </is>
      </c>
      <c r="I261" t="inlineStr">
        <is>
          <t>export@mescosurgical.com</t>
        </is>
      </c>
      <c r="L261" t="inlineStr">
        <is>
          <t>Stated</t>
        </is>
      </c>
      <c r="M261" t="inlineStr"/>
      <c r="N261" t="inlineStr">
        <is>
          <t>TUV</t>
        </is>
      </c>
      <c r="O261" t="inlineStr">
        <is>
          <t>https://www.medzell.net/company/mesco-surgical/</t>
        </is>
      </c>
      <c r="Q261" t="n">
        <v>10</v>
      </c>
      <c r="R261">
        <f>IF(Q261="","",IF(Q261&gt;=60,"HIGH",IF(Q261&gt;=30,"MEDIUM","LOW")))</f>
        <v/>
      </c>
      <c r="S261" t="inlineStr">
        <is>
          <t>New</t>
        </is>
      </c>
      <c r="T261" t="inlineStr">
        <is>
          <t>2026-03-05</t>
        </is>
      </c>
      <c r="U261" t="inlineStr">
        <is>
          <t>Seed=Medzell; Seed-file: output/medzell_company_urls.txt</t>
        </is>
      </c>
    </row>
    <row r="262">
      <c r="A262" t="n">
        <v>261</v>
      </c>
      <c r="B262" t="inlineStr">
        <is>
          <t>Metaflex: Global Innovators in Insulated Doors and Door Systems</t>
        </is>
      </c>
      <c r="C262" t="inlineStr"/>
      <c r="D262" t="inlineStr">
        <is>
          <t>Manufacturer</t>
        </is>
      </c>
      <c r="E262" t="inlineStr">
        <is>
          <t>PPE</t>
        </is>
      </c>
      <c r="F262" t="inlineStr">
        <is>
          <t>Wound Care, Lab Consumables, Syringes &amp; Needles, IV Infusion Sets, Gauze &amp; Bandages, Disinfectants, IV Cannulas, Catheters</t>
        </is>
      </c>
      <c r="G262" t="inlineStr"/>
      <c r="H262" t="inlineStr">
        <is>
          <t>https://www.medzell.net/main-categories-application/therapeutic-devices/</t>
        </is>
      </c>
      <c r="I262" t="inlineStr">
        <is>
          <t>kalpana@metaflex.in</t>
        </is>
      </c>
      <c r="L262" t="inlineStr"/>
      <c r="M262" t="inlineStr"/>
      <c r="N262" t="inlineStr">
        <is>
          <t>TUV</t>
        </is>
      </c>
      <c r="O262" t="inlineStr">
        <is>
          <t>https://www.medzell.net/company/meta-flex-doors-india/</t>
        </is>
      </c>
      <c r="Q262" t="n">
        <v>25</v>
      </c>
      <c r="R262">
        <f>IF(Q262="","",IF(Q262&gt;=60,"HIGH",IF(Q262&gt;=30,"MEDIUM","LOW")))</f>
        <v/>
      </c>
      <c r="S262" t="inlineStr">
        <is>
          <t>New</t>
        </is>
      </c>
      <c r="T262" t="inlineStr">
        <is>
          <t>2026-03-05</t>
        </is>
      </c>
      <c r="U262" t="inlineStr">
        <is>
          <t>Seed=Medzell; Seed-file: output/medzell_company_urls.txt</t>
        </is>
      </c>
    </row>
    <row r="263">
      <c r="A263" t="n">
        <v>262</v>
      </c>
      <c r="B263" t="inlineStr">
        <is>
          <t>Top Quality Orthopedic Supports &amp; Medical Supplies - Metro Orthotics</t>
        </is>
      </c>
      <c r="C263" t="inlineStr"/>
      <c r="D263" t="inlineStr">
        <is>
          <t>Manufacturer</t>
        </is>
      </c>
      <c r="E263" t="inlineStr">
        <is>
          <t>PPE</t>
        </is>
      </c>
      <c r="F263" t="inlineStr">
        <is>
          <t>Wound Care, Gauze &amp; Bandages, Lab Consumables, Syringes &amp; Needles, IV Infusion Sets, Disinfectants, IV Cannulas, Catheters</t>
        </is>
      </c>
      <c r="G263" t="inlineStr"/>
      <c r="H263" t="inlineStr">
        <is>
          <t>https://www.medzell.net/main-categories-application/therapeutic-devices/</t>
        </is>
      </c>
      <c r="I263" t="inlineStr">
        <is>
          <t>metroorthotics@gmail.com</t>
        </is>
      </c>
      <c r="L263" t="inlineStr"/>
      <c r="M263" t="inlineStr"/>
      <c r="N263" t="inlineStr">
        <is>
          <t>TUV</t>
        </is>
      </c>
      <c r="O263" t="inlineStr">
        <is>
          <t>https://www.medzell.net/company/metro-orthotics/</t>
        </is>
      </c>
      <c r="Q263" t="n">
        <v>45</v>
      </c>
      <c r="R263">
        <f>IF(Q263="","",IF(Q263&gt;=60,"HIGH",IF(Q263&gt;=30,"MEDIUM","LOW")))</f>
        <v/>
      </c>
      <c r="S263" t="inlineStr">
        <is>
          <t>New</t>
        </is>
      </c>
      <c r="T263" t="inlineStr">
        <is>
          <t>2026-03-05</t>
        </is>
      </c>
      <c r="U263" t="inlineStr">
        <is>
          <t>Seed=Medzell; Seed-file: output/medzell_company_urls.txt</t>
        </is>
      </c>
    </row>
    <row r="264">
      <c r="A264" t="n">
        <v>263</v>
      </c>
      <c r="B264" t="inlineStr">
        <is>
          <t>MicroMedica Laboratories: Quality IVD &amp; Microbiology Products Manufacturer</t>
        </is>
      </c>
      <c r="C264" t="inlineStr"/>
      <c r="D264" t="inlineStr">
        <is>
          <t>Manufacturer</t>
        </is>
      </c>
      <c r="E264" t="inlineStr">
        <is>
          <t>PPE</t>
        </is>
      </c>
      <c r="F264" t="inlineStr">
        <is>
          <t>Wound Care, Lab Consumables, Syringes &amp; Needles, IV Infusion Sets, Gauze &amp; Bandages, Disinfectants, IV Cannulas, Catheters</t>
        </is>
      </c>
      <c r="G264" t="inlineStr"/>
      <c r="H264" t="inlineStr">
        <is>
          <t>https://www.medzell.net/main-categories-application/therapeutic-devices/</t>
        </is>
      </c>
      <c r="I264" t="inlineStr">
        <is>
          <t>contact@micromedicalab.com</t>
        </is>
      </c>
      <c r="L264" t="inlineStr">
        <is>
          <t>Stated</t>
        </is>
      </c>
      <c r="M264" t="inlineStr"/>
      <c r="N264" t="inlineStr">
        <is>
          <t>GMP, TUV</t>
        </is>
      </c>
      <c r="O264" t="inlineStr">
        <is>
          <t>https://www.medzell.net/company/micromedica-laboratories-private-limited/</t>
        </is>
      </c>
      <c r="Q264" t="n">
        <v>10</v>
      </c>
      <c r="R264">
        <f>IF(Q264="","",IF(Q264&gt;=60,"HIGH",IF(Q264&gt;=30,"MEDIUM","LOW")))</f>
        <v/>
      </c>
      <c r="S264" t="inlineStr">
        <is>
          <t>New</t>
        </is>
      </c>
      <c r="T264" t="inlineStr">
        <is>
          <t>2026-03-05</t>
        </is>
      </c>
      <c r="U264" t="inlineStr">
        <is>
          <t>Seed=Medzell; Seed-file: output/medzell_company_urls.txt</t>
        </is>
      </c>
    </row>
    <row r="265">
      <c r="A265" t="n">
        <v>264</v>
      </c>
      <c r="B265" t="inlineStr">
        <is>
          <t>Leading Manufacturer and Global Supplier of Scientific Equipment in India - MICROTEKNIK</t>
        </is>
      </c>
      <c r="C265" t="inlineStr"/>
      <c r="D265" t="inlineStr">
        <is>
          <t>Manufacturer</t>
        </is>
      </c>
      <c r="E265" t="inlineStr">
        <is>
          <t>PPE</t>
        </is>
      </c>
      <c r="F265" t="inlineStr">
        <is>
          <t>Wound Care, Lab Consumables, Syringes &amp; Needles, IV Infusion Sets, Gauze &amp; Bandages, Disinfectants, IV Cannulas, Catheters</t>
        </is>
      </c>
      <c r="G265" t="inlineStr"/>
      <c r="H265" t="inlineStr">
        <is>
          <t>https://www.medzell.net/main-categories-application/therapeutic-devices/</t>
        </is>
      </c>
      <c r="I265" t="inlineStr">
        <is>
          <t>sales@microteknik.net</t>
        </is>
      </c>
      <c r="L265" t="inlineStr">
        <is>
          <t>Stated</t>
        </is>
      </c>
      <c r="M265" t="inlineStr"/>
      <c r="N265" t="inlineStr">
        <is>
          <t>FDA, GMP, TUV</t>
        </is>
      </c>
      <c r="O265" t="inlineStr">
        <is>
          <t>https://www.medzell.net/company/microteknik/</t>
        </is>
      </c>
      <c r="Q265" t="n">
        <v>10</v>
      </c>
      <c r="R265">
        <f>IF(Q265="","",IF(Q265&gt;=60,"HIGH",IF(Q265&gt;=30,"MEDIUM","LOW")))</f>
        <v/>
      </c>
      <c r="S265" t="inlineStr">
        <is>
          <t>New</t>
        </is>
      </c>
      <c r="T265" t="inlineStr">
        <is>
          <t>2026-03-05</t>
        </is>
      </c>
      <c r="U265" t="inlineStr">
        <is>
          <t>Seed=Medzell; Seed-file: output/medzell_company_urls.txt</t>
        </is>
      </c>
    </row>
    <row r="266">
      <c r="A266" t="n">
        <v>265</v>
      </c>
      <c r="B266" t="inlineStr">
        <is>
          <t>High-Quality Ophthalmic Surgical Instruments and Sterilization Solutions - Microtrack Surgicals</t>
        </is>
      </c>
      <c r="C266" t="inlineStr"/>
      <c r="D266" t="inlineStr">
        <is>
          <t>Manufacturer</t>
        </is>
      </c>
      <c r="E266" t="inlineStr">
        <is>
          <t>PPE</t>
        </is>
      </c>
      <c r="F266" t="inlineStr">
        <is>
          <t>Wound Care, Lab Consumables, Syringes &amp; Needles, IV Infusion Sets, Gauze &amp; Bandages, Disinfectants, IV Cannulas, Catheters</t>
        </is>
      </c>
      <c r="G266" t="inlineStr"/>
      <c r="H266" t="inlineStr">
        <is>
          <t>https://www.medzell.net/main-categories-application/therapeutic-devices/</t>
        </is>
      </c>
      <c r="I266" t="inlineStr">
        <is>
          <t>microtracksurgicals@gmail.com</t>
        </is>
      </c>
      <c r="L266" t="inlineStr">
        <is>
          <t>Stated</t>
        </is>
      </c>
      <c r="M266" t="inlineStr"/>
      <c r="N266" t="inlineStr">
        <is>
          <t>TUV</t>
        </is>
      </c>
      <c r="O266" t="inlineStr">
        <is>
          <t>https://www.medzell.net/company/microtrack-surgicals/</t>
        </is>
      </c>
      <c r="Q266" t="n">
        <v>30</v>
      </c>
      <c r="R266">
        <f>IF(Q266="","",IF(Q266&gt;=60,"HIGH",IF(Q266&gt;=30,"MEDIUM","LOW")))</f>
        <v/>
      </c>
      <c r="S266" t="inlineStr">
        <is>
          <t>New</t>
        </is>
      </c>
      <c r="T266" t="inlineStr">
        <is>
          <t>2026-03-05</t>
        </is>
      </c>
      <c r="U266" t="inlineStr">
        <is>
          <t>Seed=Medzell; Seed-file: output/medzell_company_urls.txt</t>
        </is>
      </c>
    </row>
    <row r="267">
      <c r="A267" t="n">
        <v>266</v>
      </c>
      <c r="B267" t="inlineStr">
        <is>
          <t>Top-Quality Laboratory Instruments and Biological Indicators | Miracle Industries</t>
        </is>
      </c>
      <c r="C267" t="inlineStr"/>
      <c r="D267" t="inlineStr">
        <is>
          <t>Manufacturer</t>
        </is>
      </c>
      <c r="E267" t="inlineStr">
        <is>
          <t>PPE</t>
        </is>
      </c>
      <c r="F267" t="inlineStr">
        <is>
          <t>Wound Care, Lab Consumables, Syringes &amp; Needles, IV Infusion Sets, Gauze &amp; Bandages, Disinfectants, IV Cannulas, Catheters</t>
        </is>
      </c>
      <c r="G267" t="inlineStr"/>
      <c r="H267" t="inlineStr">
        <is>
          <t>https://www.medzell.net/main-categories-application/therapeutic-devices/</t>
        </is>
      </c>
      <c r="I267" t="inlineStr">
        <is>
          <t>sales@miracleindustries.com</t>
        </is>
      </c>
      <c r="L267" t="inlineStr"/>
      <c r="M267" t="inlineStr"/>
      <c r="N267" t="inlineStr">
        <is>
          <t>TUV</t>
        </is>
      </c>
      <c r="O267" t="inlineStr">
        <is>
          <t>https://www.medzell.net/company/miracle-industries/</t>
        </is>
      </c>
      <c r="Q267" t="n">
        <v>25</v>
      </c>
      <c r="R267">
        <f>IF(Q267="","",IF(Q267&gt;=60,"HIGH",IF(Q267&gt;=30,"MEDIUM","LOW")))</f>
        <v/>
      </c>
      <c r="S267" t="inlineStr">
        <is>
          <t>New</t>
        </is>
      </c>
      <c r="T267" t="inlineStr">
        <is>
          <t>2026-03-05</t>
        </is>
      </c>
      <c r="U267" t="inlineStr">
        <is>
          <t>Seed=Medzell; Seed-file: output/medzell_company_urls.txt</t>
        </is>
      </c>
    </row>
    <row r="268">
      <c r="A268" t="n">
        <v>267</v>
      </c>
      <c r="B268" t="inlineStr">
        <is>
          <t>Leading Manufacturer and Global Supplier of Endoscopes, Stents, and Blood Bags - Mitra Industries Private Limited</t>
        </is>
      </c>
      <c r="C268" t="inlineStr"/>
      <c r="D268" t="inlineStr">
        <is>
          <t>Manufacturer</t>
        </is>
      </c>
      <c r="E268" t="inlineStr">
        <is>
          <t>PPE</t>
        </is>
      </c>
      <c r="F268" t="inlineStr">
        <is>
          <t>Wound Care, Lab Consumables, Syringes &amp; Needles, IV Infusion Sets, Gauze &amp; Bandages, Disinfectants, IV Cannulas, Catheters</t>
        </is>
      </c>
      <c r="G268" t="inlineStr"/>
      <c r="H268" t="inlineStr">
        <is>
          <t>https://www.medzell.net/main-categories-application/therapeutic-devices/</t>
        </is>
      </c>
      <c r="I268" t="inlineStr">
        <is>
          <t>sunny.sehrawat@mipl.in</t>
        </is>
      </c>
      <c r="L268" t="inlineStr">
        <is>
          <t>Stated</t>
        </is>
      </c>
      <c r="M268" t="inlineStr"/>
      <c r="N268" t="inlineStr">
        <is>
          <t>FDA, GMP, TUV</t>
        </is>
      </c>
      <c r="O268" t="inlineStr">
        <is>
          <t>https://www.medzell.net/company/mitra-industries-pvt-ltd/</t>
        </is>
      </c>
      <c r="Q268" t="n">
        <v>10</v>
      </c>
      <c r="R268">
        <f>IF(Q268="","",IF(Q268&gt;=60,"HIGH",IF(Q268&gt;=30,"MEDIUM","LOW")))</f>
        <v/>
      </c>
      <c r="S268" t="inlineStr">
        <is>
          <t>New</t>
        </is>
      </c>
      <c r="T268" t="inlineStr">
        <is>
          <t>2026-03-05</t>
        </is>
      </c>
      <c r="U268" t="inlineStr">
        <is>
          <t>Seed=Medzell; Seed-file: output/medzell_company_urls.txt</t>
        </is>
      </c>
    </row>
    <row r="269">
      <c r="A269" t="n">
        <v>268</v>
      </c>
      <c r="B269" t="inlineStr">
        <is>
          <t>MNP Meditech Pvt. Ltd. | Rapid Diagnostic Test Kit Manufacturer in India</t>
        </is>
      </c>
      <c r="C269" t="inlineStr"/>
      <c r="D269" t="inlineStr">
        <is>
          <t>Manufacturer</t>
        </is>
      </c>
      <c r="E269" t="inlineStr">
        <is>
          <t>PPE</t>
        </is>
      </c>
      <c r="F269" t="inlineStr">
        <is>
          <t>Wound Care, Lab Consumables, Syringes &amp; Needles, IV Infusion Sets, Gauze &amp; Bandages, Disinfectants, IV Cannulas, Catheters</t>
        </is>
      </c>
      <c r="G269" t="inlineStr"/>
      <c r="H269" t="inlineStr">
        <is>
          <t>https://www.medzell.net/main-categories-application/therapeutic-devices/</t>
        </is>
      </c>
      <c r="I269" t="inlineStr">
        <is>
          <t>mnpmeditech@gmail.com</t>
        </is>
      </c>
      <c r="L269" t="inlineStr"/>
      <c r="M269" t="inlineStr"/>
      <c r="N269" t="inlineStr">
        <is>
          <t>TUV</t>
        </is>
      </c>
      <c r="O269" t="inlineStr">
        <is>
          <t>https://www.medzell.net/company/mnp-meditech-private-limited/</t>
        </is>
      </c>
      <c r="Q269" t="n">
        <v>45</v>
      </c>
      <c r="R269">
        <f>IF(Q269="","",IF(Q269&gt;=60,"HIGH",IF(Q269&gt;=30,"MEDIUM","LOW")))</f>
        <v/>
      </c>
      <c r="S269" t="inlineStr">
        <is>
          <t>New</t>
        </is>
      </c>
      <c r="T269" t="inlineStr">
        <is>
          <t>2026-03-05</t>
        </is>
      </c>
      <c r="U269" t="inlineStr">
        <is>
          <t>Seed=Medzell; Seed-file: output/medzell_company_urls.txt</t>
        </is>
      </c>
    </row>
    <row r="270">
      <c r="A270" t="n">
        <v>269</v>
      </c>
      <c r="B270" t="inlineStr">
        <is>
          <t>Leading Surgical Instruments Manufacturer in India</t>
        </is>
      </c>
      <c r="C270" t="inlineStr"/>
      <c r="D270" t="inlineStr">
        <is>
          <t>Manufacturer</t>
        </is>
      </c>
      <c r="E270" t="inlineStr">
        <is>
          <t>PPE</t>
        </is>
      </c>
      <c r="F270" t="inlineStr">
        <is>
          <t>Wound Care, Lab Consumables, Syringes &amp; Needles, IV Infusion Sets, Gauze &amp; Bandages, Disinfectants, IV Cannulas, Catheters</t>
        </is>
      </c>
      <c r="G270" t="inlineStr"/>
      <c r="H270" t="inlineStr">
        <is>
          <t>https://www.medzell.net/main-categories-application/therapeutic-devices/</t>
        </is>
      </c>
      <c r="I270" t="inlineStr">
        <is>
          <t>modernsurgicals@ymail.com</t>
        </is>
      </c>
      <c r="L270" t="inlineStr"/>
      <c r="M270" t="inlineStr"/>
      <c r="N270" t="inlineStr">
        <is>
          <t>TUV</t>
        </is>
      </c>
      <c r="O270" t="inlineStr">
        <is>
          <t>https://www.medzell.net/company/modern-surgicals/</t>
        </is>
      </c>
      <c r="Q270" t="n">
        <v>25</v>
      </c>
      <c r="R270">
        <f>IF(Q270="","",IF(Q270&gt;=60,"HIGH",IF(Q270&gt;=30,"MEDIUM","LOW")))</f>
        <v/>
      </c>
      <c r="S270" t="inlineStr">
        <is>
          <t>New</t>
        </is>
      </c>
      <c r="T270" t="inlineStr">
        <is>
          <t>2026-03-05</t>
        </is>
      </c>
      <c r="U270" t="inlineStr">
        <is>
          <t>Seed=Medzell; Seed-file: output/medzell_company_urls.txt</t>
        </is>
      </c>
    </row>
    <row r="271">
      <c r="A271" t="n">
        <v>270</v>
      </c>
      <c r="B271" t="inlineStr">
        <is>
          <t>Molbio Diagnostics | Transforming Healthcare with Point-of-Care Molecular Testing</t>
        </is>
      </c>
      <c r="C271" t="inlineStr"/>
      <c r="D271" t="inlineStr">
        <is>
          <t>Manufacturer</t>
        </is>
      </c>
      <c r="E271" t="inlineStr">
        <is>
          <t>PPE</t>
        </is>
      </c>
      <c r="F271" t="inlineStr">
        <is>
          <t>Wound Care, Lab Consumables, Syringes &amp; Needles, IV Infusion Sets, Gauze &amp; Bandages, Disinfectants, IV Cannulas, Catheters</t>
        </is>
      </c>
      <c r="G271" t="inlineStr"/>
      <c r="H271" t="inlineStr">
        <is>
          <t>https://www.medzell.net/main-categories-application/therapeutic-devices/</t>
        </is>
      </c>
      <c r="I271" t="inlineStr">
        <is>
          <t>sumitmitra@molbiodiagnostics.com</t>
        </is>
      </c>
      <c r="L271" t="inlineStr">
        <is>
          <t>Stated</t>
        </is>
      </c>
      <c r="M271" t="inlineStr"/>
      <c r="N271" t="inlineStr">
        <is>
          <t>TUV</t>
        </is>
      </c>
      <c r="O271" t="inlineStr">
        <is>
          <t>https://www.medzell.net/company/molbio-diagnostics-private-limited/</t>
        </is>
      </c>
      <c r="Q271" t="n">
        <v>10</v>
      </c>
      <c r="R271">
        <f>IF(Q271="","",IF(Q271&gt;=60,"HIGH",IF(Q271&gt;=30,"MEDIUM","LOW")))</f>
        <v/>
      </c>
      <c r="S271" t="inlineStr">
        <is>
          <t>New</t>
        </is>
      </c>
      <c r="T271" t="inlineStr">
        <is>
          <t>2026-03-05</t>
        </is>
      </c>
      <c r="U271" t="inlineStr">
        <is>
          <t>Seed=Medzell; Seed-file: output/medzell_company_urls.txt</t>
        </is>
      </c>
    </row>
    <row r="272">
      <c r="A272" t="n">
        <v>271</v>
      </c>
      <c r="B272" t="inlineStr">
        <is>
          <t>Top Manufacturer and Exporter of High-Quality Medical Devices - Monarch Healthcare</t>
        </is>
      </c>
      <c r="C272" t="inlineStr"/>
      <c r="D272" t="inlineStr">
        <is>
          <t>Manufacturer</t>
        </is>
      </c>
      <c r="E272" t="inlineStr">
        <is>
          <t>PPE</t>
        </is>
      </c>
      <c r="F272" t="inlineStr">
        <is>
          <t>Wound Care, Lab Consumables, Syringes &amp; Needles, IV Infusion Sets, Gauze &amp; Bandages, Disinfectants, IV Cannulas, Catheters</t>
        </is>
      </c>
      <c r="G272" t="inlineStr"/>
      <c r="H272" t="inlineStr">
        <is>
          <t>https://www.medzell.net/main-categories-application/therapeutic-devices/</t>
        </is>
      </c>
      <c r="I272" t="inlineStr">
        <is>
          <t>monarchmeditech@gmail.com</t>
        </is>
      </c>
      <c r="L272" t="inlineStr"/>
      <c r="M272" t="inlineStr"/>
      <c r="N272" t="inlineStr">
        <is>
          <t>TUV</t>
        </is>
      </c>
      <c r="O272" t="inlineStr">
        <is>
          <t>https://www.medzell.net/company/monarch-healthcare/</t>
        </is>
      </c>
      <c r="Q272" t="n">
        <v>45</v>
      </c>
      <c r="R272">
        <f>IF(Q272="","",IF(Q272&gt;=60,"HIGH",IF(Q272&gt;=30,"MEDIUM","LOW")))</f>
        <v/>
      </c>
      <c r="S272" t="inlineStr">
        <is>
          <t>New</t>
        </is>
      </c>
      <c r="T272" t="inlineStr">
        <is>
          <t>2026-03-05</t>
        </is>
      </c>
      <c r="U272" t="inlineStr">
        <is>
          <t>Seed=Medzell; Seed-file: output/medzell_company_urls.txt</t>
        </is>
      </c>
    </row>
    <row r="273">
      <c r="A273" t="n">
        <v>272</v>
      </c>
      <c r="B273" t="inlineStr">
        <is>
          <t>Experience Excellence in Medical Furniture &amp; Equipment at M P Surgical - Since 2005</t>
        </is>
      </c>
      <c r="C273" t="inlineStr"/>
      <c r="D273" t="inlineStr">
        <is>
          <t>Manufacturer</t>
        </is>
      </c>
      <c r="E273" t="inlineStr">
        <is>
          <t>PPE</t>
        </is>
      </c>
      <c r="F273" t="inlineStr">
        <is>
          <t>Wound Care, Lab Consumables, Syringes &amp; Needles, IV Infusion Sets, Gauze &amp; Bandages, Disinfectants, IV Cannulas, Catheters</t>
        </is>
      </c>
      <c r="G273" t="inlineStr"/>
      <c r="H273" t="inlineStr">
        <is>
          <t>https://www.medzell.net/main-categories-application/therapeutic-devices/</t>
        </is>
      </c>
      <c r="I273" t="inlineStr">
        <is>
          <t>mpsurgicals70@gmail.com</t>
        </is>
      </c>
      <c r="L273" t="inlineStr">
        <is>
          <t>Stated</t>
        </is>
      </c>
      <c r="M273" t="inlineStr"/>
      <c r="N273" t="inlineStr">
        <is>
          <t>GMP, TUV</t>
        </is>
      </c>
      <c r="O273" t="inlineStr">
        <is>
          <t>https://www.medzell.net/company/mp-surgical/</t>
        </is>
      </c>
      <c r="Q273" t="n">
        <v>30</v>
      </c>
      <c r="R273">
        <f>IF(Q273="","",IF(Q273&gt;=60,"HIGH",IF(Q273&gt;=30,"MEDIUM","LOW")))</f>
        <v/>
      </c>
      <c r="S273" t="inlineStr">
        <is>
          <t>New</t>
        </is>
      </c>
      <c r="T273" t="inlineStr">
        <is>
          <t>2026-03-05</t>
        </is>
      </c>
      <c r="U273" t="inlineStr">
        <is>
          <t>Seed=Medzell; Seed-file: output/medzell_company_urls.txt</t>
        </is>
      </c>
    </row>
    <row r="274">
      <c r="A274" t="n">
        <v>273</v>
      </c>
      <c r="B274" t="inlineStr">
        <is>
          <t>MRK Healthcare Pvt. Ltd. - Trusted Manufacturer of High-Quality Medical Devices</t>
        </is>
      </c>
      <c r="C274" t="inlineStr"/>
      <c r="D274" t="inlineStr">
        <is>
          <t>Manufacturer</t>
        </is>
      </c>
      <c r="E274" t="inlineStr">
        <is>
          <t>PPE</t>
        </is>
      </c>
      <c r="F274" t="inlineStr">
        <is>
          <t>Wound Care, IV Infusion Sets, Catheters, Lab Consumables, Syringes &amp; Needles, Gloves, Gauze &amp; Bandages, Disinfectants, IV Cannulas</t>
        </is>
      </c>
      <c r="G274" t="inlineStr"/>
      <c r="H274" t="inlineStr">
        <is>
          <t>https://www.medzell.net/main-categories-application/therapeutic-devices/</t>
        </is>
      </c>
      <c r="I274" t="inlineStr">
        <is>
          <t>sachin@mrkhealthcare.com</t>
        </is>
      </c>
      <c r="L274" t="inlineStr">
        <is>
          <t>Stated</t>
        </is>
      </c>
      <c r="M274" t="inlineStr"/>
      <c r="N274" t="inlineStr">
        <is>
          <t>FDA, TUV</t>
        </is>
      </c>
      <c r="O274" t="inlineStr">
        <is>
          <t>https://www.medzell.net/company/mrk-healthcare-pvt-ltd/</t>
        </is>
      </c>
      <c r="Q274" t="n">
        <v>10</v>
      </c>
      <c r="R274">
        <f>IF(Q274="","",IF(Q274&gt;=60,"HIGH",IF(Q274&gt;=30,"MEDIUM","LOW")))</f>
        <v/>
      </c>
      <c r="S274" t="inlineStr">
        <is>
          <t>New</t>
        </is>
      </c>
      <c r="T274" t="inlineStr">
        <is>
          <t>2026-03-05</t>
        </is>
      </c>
      <c r="U274" t="inlineStr">
        <is>
          <t>Seed=Medzell; Seed-file: output/medzell_company_urls.txt</t>
        </is>
      </c>
    </row>
    <row r="275">
      <c r="A275" t="n">
        <v>274</v>
      </c>
      <c r="B275" t="inlineStr">
        <is>
          <t>MS Technologies</t>
        </is>
      </c>
      <c r="C275" t="inlineStr"/>
      <c r="D275" t="inlineStr">
        <is>
          <t>Manufacturer</t>
        </is>
      </c>
      <c r="E275" t="inlineStr">
        <is>
          <t>PPE</t>
        </is>
      </c>
      <c r="F275" t="inlineStr">
        <is>
          <t>Wound Care, Lab Consumables, Syringes &amp; Needles, IV Infusion Sets, Gauze &amp; Bandages, Disinfectants, IV Cannulas, Catheters</t>
        </is>
      </c>
      <c r="G275" t="inlineStr"/>
      <c r="H275" t="inlineStr">
        <is>
          <t>https://www.medzell.net/main-categories-application/therapeutic-devices/</t>
        </is>
      </c>
      <c r="I275" t="inlineStr">
        <is>
          <t>mstechnologiesclt@gmail.com</t>
        </is>
      </c>
      <c r="L275" t="inlineStr"/>
      <c r="M275" t="inlineStr"/>
      <c r="N275" t="inlineStr">
        <is>
          <t>TUV</t>
        </is>
      </c>
      <c r="O275" t="inlineStr">
        <is>
          <t>https://www.medzell.net/company/ms-technologies/</t>
        </is>
      </c>
      <c r="Q275" t="n">
        <v>45</v>
      </c>
      <c r="R275">
        <f>IF(Q275="","",IF(Q275&gt;=60,"HIGH",IF(Q275&gt;=30,"MEDIUM","LOW")))</f>
        <v/>
      </c>
      <c r="S275" t="inlineStr">
        <is>
          <t>New</t>
        </is>
      </c>
      <c r="T275" t="inlineStr">
        <is>
          <t>2026-03-05</t>
        </is>
      </c>
      <c r="U275" t="inlineStr">
        <is>
          <t>Seed=Medzell; Seed-file: output/medzell_company_urls.txt</t>
        </is>
      </c>
    </row>
    <row r="276">
      <c r="A276" t="n">
        <v>275</v>
      </c>
      <c r="B276" t="inlineStr">
        <is>
          <t>Nareena Lifesciences: Trusted Manufacturer of ECG Machines, Patient Monitoring Systems, and more</t>
        </is>
      </c>
      <c r="C276" t="inlineStr"/>
      <c r="D276" t="inlineStr">
        <is>
          <t>Manufacturer</t>
        </is>
      </c>
      <c r="E276" t="inlineStr">
        <is>
          <t>PPE</t>
        </is>
      </c>
      <c r="F276" t="inlineStr">
        <is>
          <t>Wound Care, Lab Consumables, Syringes &amp; Needles, IV Infusion Sets, Gauze &amp; Bandages, Disinfectants, IV Cannulas, Catheters</t>
        </is>
      </c>
      <c r="G276" t="inlineStr"/>
      <c r="H276" t="inlineStr">
        <is>
          <t>https://www.medzell.net/main-categories-application/therapeutic-devices/</t>
        </is>
      </c>
      <c r="I276" t="inlineStr">
        <is>
          <t>dm@nareenalifesciences.com</t>
        </is>
      </c>
      <c r="L276" t="inlineStr"/>
      <c r="M276" t="inlineStr"/>
      <c r="N276" t="inlineStr">
        <is>
          <t>TUV</t>
        </is>
      </c>
      <c r="O276" t="inlineStr">
        <is>
          <t>https://www.medzell.net/company/nareena-lifesciences-pvt-ltd/</t>
        </is>
      </c>
      <c r="Q276" t="n">
        <v>25</v>
      </c>
      <c r="R276">
        <f>IF(Q276="","",IF(Q276&gt;=60,"HIGH",IF(Q276&gt;=30,"MEDIUM","LOW")))</f>
        <v/>
      </c>
      <c r="S276" t="inlineStr">
        <is>
          <t>New</t>
        </is>
      </c>
      <c r="T276" t="inlineStr">
        <is>
          <t>2026-03-05</t>
        </is>
      </c>
      <c r="U276" t="inlineStr">
        <is>
          <t>Seed=Medzell; Seed-file: output/medzell_company_urls.txt</t>
        </is>
      </c>
    </row>
    <row r="277">
      <c r="A277" t="n">
        <v>276</v>
      </c>
      <c r="B277" t="inlineStr">
        <is>
          <t>Neokraft Medical: ISO 13485-Certified Neonatal Equipment Manufacturer in Bangalore, India</t>
        </is>
      </c>
      <c r="C277" t="inlineStr"/>
      <c r="D277" t="inlineStr">
        <is>
          <t>Manufacturer</t>
        </is>
      </c>
      <c r="E277" t="inlineStr">
        <is>
          <t>PPE</t>
        </is>
      </c>
      <c r="F277" t="inlineStr">
        <is>
          <t>Wound Care, Lab Consumables, Syringes &amp; Needles, IV Infusion Sets, Gauze &amp; Bandages, Disinfectants, IV Cannulas, Catheters</t>
        </is>
      </c>
      <c r="G277" t="inlineStr"/>
      <c r="H277" t="inlineStr">
        <is>
          <t>https://www.medzell.net/main-categories-application/therapeutic-devices/</t>
        </is>
      </c>
      <c r="I277" t="inlineStr">
        <is>
          <t>sales@neokraftmedical.com</t>
        </is>
      </c>
      <c r="L277" t="inlineStr">
        <is>
          <t>Stated</t>
        </is>
      </c>
      <c r="M277" t="inlineStr"/>
      <c r="N277" t="inlineStr">
        <is>
          <t>TUV</t>
        </is>
      </c>
      <c r="O277" t="inlineStr">
        <is>
          <t>https://www.medzell.net/company/neokraft-medical-private-limited/</t>
        </is>
      </c>
      <c r="Q277" t="n">
        <v>10</v>
      </c>
      <c r="R277">
        <f>IF(Q277="","",IF(Q277&gt;=60,"HIGH",IF(Q277&gt;=30,"MEDIUM","LOW")))</f>
        <v/>
      </c>
      <c r="S277" t="inlineStr">
        <is>
          <t>New</t>
        </is>
      </c>
      <c r="T277" t="inlineStr">
        <is>
          <t>2026-03-05</t>
        </is>
      </c>
      <c r="U277" t="inlineStr">
        <is>
          <t>Seed=Medzell; Seed-file: output/medzell_company_urls.txt</t>
        </is>
      </c>
    </row>
    <row r="278">
      <c r="A278" t="n">
        <v>277</v>
      </c>
      <c r="B278" t="inlineStr">
        <is>
          <t>Revolutionizing Neonatal Care: Neonest Medical Systems Pvt. Ltd.</t>
        </is>
      </c>
      <c r="C278" t="inlineStr"/>
      <c r="D278" t="inlineStr">
        <is>
          <t>Manufacturer</t>
        </is>
      </c>
      <c r="E278" t="inlineStr">
        <is>
          <t>PPE</t>
        </is>
      </c>
      <c r="F278" t="inlineStr">
        <is>
          <t>Wound Care, Lab Consumables, Syringes &amp; Needles, IV Infusion Sets, Gauze &amp; Bandages, Disinfectants, IV Cannulas, Catheters</t>
        </is>
      </c>
      <c r="G278" t="inlineStr"/>
      <c r="H278" t="inlineStr">
        <is>
          <t>https://www.medzell.net/main-categories-application/therapeutic-devices/</t>
        </is>
      </c>
      <c r="I278" t="inlineStr">
        <is>
          <t>dvksalesinfo@gmail.com</t>
        </is>
      </c>
      <c r="L278" t="inlineStr">
        <is>
          <t>Stated</t>
        </is>
      </c>
      <c r="M278" t="inlineStr"/>
      <c r="N278" t="inlineStr">
        <is>
          <t>TUV</t>
        </is>
      </c>
      <c r="O278" t="inlineStr">
        <is>
          <t>https://www.medzell.net/company/neonest-medical-systems-pvt-ltd/</t>
        </is>
      </c>
      <c r="Q278" t="n">
        <v>30</v>
      </c>
      <c r="R278">
        <f>IF(Q278="","",IF(Q278&gt;=60,"HIGH",IF(Q278&gt;=30,"MEDIUM","LOW")))</f>
        <v/>
      </c>
      <c r="S278" t="inlineStr">
        <is>
          <t>New</t>
        </is>
      </c>
      <c r="T278" t="inlineStr">
        <is>
          <t>2026-03-05</t>
        </is>
      </c>
      <c r="U278" t="inlineStr">
        <is>
          <t>Seed=Medzell; Seed-file: output/medzell_company_urls.txt</t>
        </is>
      </c>
    </row>
    <row r="279">
      <c r="A279" t="n">
        <v>278</v>
      </c>
      <c r="B279" t="inlineStr">
        <is>
          <t>Neptune Orthopaedics: Trusted Manufacturer of Bandages, Surgical Dressings, and Medical Textiles</t>
        </is>
      </c>
      <c r="C279" t="inlineStr"/>
      <c r="D279" t="inlineStr">
        <is>
          <t>Manufacturer</t>
        </is>
      </c>
      <c r="E279" t="inlineStr">
        <is>
          <t>PPE</t>
        </is>
      </c>
      <c r="F279" t="inlineStr">
        <is>
          <t>Wound Care, Lab Consumables, Syringes &amp; Needles, IV Infusion Sets, Gauze &amp; Bandages, Disinfectants, IV Cannulas, Catheters</t>
        </is>
      </c>
      <c r="G279" t="inlineStr"/>
      <c r="H279" t="inlineStr">
        <is>
          <t>https://www.medzell.net/main-categories-application/therapeutic-devices/</t>
        </is>
      </c>
      <c r="I279" t="inlineStr">
        <is>
          <t>vineet.neptuneorthopaedics@gmail.com</t>
        </is>
      </c>
      <c r="L279" t="inlineStr">
        <is>
          <t>Stated</t>
        </is>
      </c>
      <c r="M279" t="inlineStr"/>
      <c r="N279" t="inlineStr">
        <is>
          <t>TUV</t>
        </is>
      </c>
      <c r="O279" t="inlineStr">
        <is>
          <t>https://www.medzell.net/company/neptune-orthopaedics/</t>
        </is>
      </c>
      <c r="Q279" t="n">
        <v>30</v>
      </c>
      <c r="R279">
        <f>IF(Q279="","",IF(Q279&gt;=60,"HIGH",IF(Q279&gt;=30,"MEDIUM","LOW")))</f>
        <v/>
      </c>
      <c r="S279" t="inlineStr">
        <is>
          <t>New</t>
        </is>
      </c>
      <c r="T279" t="inlineStr">
        <is>
          <t>2026-03-05</t>
        </is>
      </c>
      <c r="U279" t="inlineStr">
        <is>
          <t>Seed=Medzell; Seed-file: output/medzell_company_urls.txt</t>
        </is>
      </c>
    </row>
    <row r="280">
      <c r="A280" t="n">
        <v>279</v>
      </c>
      <c r="B280" t="inlineStr">
        <is>
          <t>Leading Manufacturer of State-of-the-Art Vascular Access Devices - Newtech Medical Devices Pvt. Ltd.</t>
        </is>
      </c>
      <c r="C280" t="inlineStr"/>
      <c r="D280" t="inlineStr">
        <is>
          <t>Manufacturer</t>
        </is>
      </c>
      <c r="E280" t="inlineStr">
        <is>
          <t>PPE</t>
        </is>
      </c>
      <c r="F280" t="inlineStr">
        <is>
          <t>Wound Care, Lab Consumables, Syringes &amp; Needles, IV Infusion Sets, Catheters, Gauze &amp; Bandages, Disinfectants, IV Cannulas</t>
        </is>
      </c>
      <c r="G280" t="inlineStr"/>
      <c r="H280" t="inlineStr">
        <is>
          <t>https://www.medzell.net/main-categories-application/therapeutic-devices/</t>
        </is>
      </c>
      <c r="I280" t="inlineStr">
        <is>
          <t>sanjeev.sharma@ntmdevices.com</t>
        </is>
      </c>
      <c r="L280" t="inlineStr">
        <is>
          <t>Stated</t>
        </is>
      </c>
      <c r="M280" t="inlineStr"/>
      <c r="N280" t="inlineStr">
        <is>
          <t>FDA, TUV</t>
        </is>
      </c>
      <c r="O280" t="inlineStr">
        <is>
          <t>https://www.medzell.net/company/newtech-medical-devices-pvt-ltd/</t>
        </is>
      </c>
      <c r="Q280" t="n">
        <v>10</v>
      </c>
      <c r="R280">
        <f>IF(Q280="","",IF(Q280&gt;=60,"HIGH",IF(Q280&gt;=30,"MEDIUM","LOW")))</f>
        <v/>
      </c>
      <c r="S280" t="inlineStr">
        <is>
          <t>New</t>
        </is>
      </c>
      <c r="T280" t="inlineStr">
        <is>
          <t>2026-03-05</t>
        </is>
      </c>
      <c r="U280" t="inlineStr">
        <is>
          <t>Seed=Medzell; Seed-file: output/medzell_company_urls.txt</t>
        </is>
      </c>
    </row>
    <row r="281">
      <c r="A281" t="n">
        <v>280</v>
      </c>
      <c r="B281" t="inlineStr">
        <is>
          <t>Revolutionizing Neonatal Care: Nice Neotech Medical Systems - Leading Manufacturer in India</t>
        </is>
      </c>
      <c r="C281" t="inlineStr"/>
      <c r="D281" t="inlineStr">
        <is>
          <t>Manufacturer</t>
        </is>
      </c>
      <c r="E281" t="inlineStr">
        <is>
          <t>PPE</t>
        </is>
      </c>
      <c r="F281" t="inlineStr">
        <is>
          <t>Wound Care, Lab Consumables, Syringes &amp; Needles, IV Infusion Sets, Gauze &amp; Bandages, Disinfectants, IV Cannulas, Catheters</t>
        </is>
      </c>
      <c r="G281" t="inlineStr"/>
      <c r="H281" t="inlineStr">
        <is>
          <t>https://www.medzell.net/main-categories-application/therapeutic-devices/</t>
        </is>
      </c>
      <c r="I281" t="inlineStr">
        <is>
          <t>seraman@niceneotech.com</t>
        </is>
      </c>
      <c r="L281" t="inlineStr">
        <is>
          <t>Stated</t>
        </is>
      </c>
      <c r="M281" t="inlineStr"/>
      <c r="N281" t="inlineStr">
        <is>
          <t>TUV</t>
        </is>
      </c>
      <c r="O281" t="inlineStr">
        <is>
          <t>https://www.medzell.net/company/nice-neotech-medical-systems-pvt-ltd/</t>
        </is>
      </c>
      <c r="Q281" t="n">
        <v>10</v>
      </c>
      <c r="R281">
        <f>IF(Q281="","",IF(Q281&gt;=60,"HIGH",IF(Q281&gt;=30,"MEDIUM","LOW")))</f>
        <v/>
      </c>
      <c r="S281" t="inlineStr">
        <is>
          <t>New</t>
        </is>
      </c>
      <c r="T281" t="inlineStr">
        <is>
          <t>2026-03-05</t>
        </is>
      </c>
      <c r="U281" t="inlineStr">
        <is>
          <t>Seed=Medzell; Seed-file: output/medzell_company_urls.txt</t>
        </is>
      </c>
    </row>
    <row r="282">
      <c r="A282" t="n">
        <v>281</v>
      </c>
      <c r="B282" t="inlineStr">
        <is>
          <t>Nishi Medcare: High-Quality Hospital Consumables | SURGIPAL Brand</t>
        </is>
      </c>
      <c r="C282" t="inlineStr"/>
      <c r="D282" t="inlineStr">
        <is>
          <t>Manufacturer</t>
        </is>
      </c>
      <c r="E282" t="inlineStr">
        <is>
          <t>PPE</t>
        </is>
      </c>
      <c r="F282" t="inlineStr">
        <is>
          <t>Wound Care, Gloves, Syringes &amp; Needles, IV Infusion Sets, Catheters, Lab Consumables, IV Cannulas, Gauze &amp; Bandages, Disinfectants</t>
        </is>
      </c>
      <c r="G282" t="inlineStr"/>
      <c r="H282" t="inlineStr">
        <is>
          <t>https://www.medzell.net/main-categories-application/therapeutic-devices/</t>
        </is>
      </c>
      <c r="I282" t="inlineStr">
        <is>
          <t>ishani@nishimedcare.com</t>
        </is>
      </c>
      <c r="L282" t="inlineStr">
        <is>
          <t>Stated</t>
        </is>
      </c>
      <c r="M282" t="inlineStr">
        <is>
          <t>Stated</t>
        </is>
      </c>
      <c r="N282" t="inlineStr">
        <is>
          <t>TUV</t>
        </is>
      </c>
      <c r="O282" t="inlineStr">
        <is>
          <t>https://www.medzell.net/company/nishi-medcare/</t>
        </is>
      </c>
      <c r="Q282" t="n">
        <v>0</v>
      </c>
      <c r="R282">
        <f>IF(Q282="","",IF(Q282&gt;=60,"HIGH",IF(Q282&gt;=30,"MEDIUM","LOW")))</f>
        <v/>
      </c>
      <c r="S282" t="inlineStr">
        <is>
          <t>New</t>
        </is>
      </c>
      <c r="T282" t="inlineStr">
        <is>
          <t>2026-03-05</t>
        </is>
      </c>
      <c r="U282" t="inlineStr">
        <is>
          <t>Seed=Medzell; Seed-file: output/medzell_company_urls.txt</t>
        </is>
      </c>
    </row>
    <row r="283">
      <c r="A283" t="n">
        <v>282</v>
      </c>
      <c r="B283" t="inlineStr">
        <is>
          <t>Space Cabin™ Cryosaunas by Novotech | Pioneers in Whole-Body Cryotherapy</t>
        </is>
      </c>
      <c r="C283" t="inlineStr"/>
      <c r="D283" t="inlineStr">
        <is>
          <t>Manufacturer</t>
        </is>
      </c>
      <c r="E283" t="inlineStr">
        <is>
          <t>PPE</t>
        </is>
      </c>
      <c r="F283" t="inlineStr">
        <is>
          <t>Wound Care, Lab Consumables, Syringes &amp; Needles, IV Infusion Sets, Gauze &amp; Bandages, Disinfectants, IV Cannulas, Catheters</t>
        </is>
      </c>
      <c r="G283" t="inlineStr"/>
      <c r="H283" t="inlineStr">
        <is>
          <t>https://www.medzell.net/main-categories-application/therapeutic-devices/</t>
        </is>
      </c>
      <c r="I283" t="inlineStr">
        <is>
          <t>export@space-cabin.com</t>
        </is>
      </c>
      <c r="L283" t="inlineStr"/>
      <c r="M283" t="inlineStr"/>
      <c r="N283" t="inlineStr">
        <is>
          <t>TUV</t>
        </is>
      </c>
      <c r="O283" t="inlineStr">
        <is>
          <t>https://www.medzell.net/company/novotech-sro/</t>
        </is>
      </c>
      <c r="Q283" t="n">
        <v>25</v>
      </c>
      <c r="R283">
        <f>IF(Q283="","",IF(Q283&gt;=60,"HIGH",IF(Q283&gt;=30,"MEDIUM","LOW")))</f>
        <v/>
      </c>
      <c r="S283" t="inlineStr">
        <is>
          <t>New</t>
        </is>
      </c>
      <c r="T283" t="inlineStr">
        <is>
          <t>2026-03-05</t>
        </is>
      </c>
      <c r="U283" t="inlineStr">
        <is>
          <t>Seed=Medzell; Seed-file: output/medzell_company_urls.txt</t>
        </is>
      </c>
    </row>
    <row r="284">
      <c r="A284" t="n">
        <v>283</v>
      </c>
      <c r="B284" t="inlineStr">
        <is>
          <t>Top Manufacturer &amp; Supplier of Wheelchairs, Orthotics Devices, Nebulizers &amp; More in India - NuK Healthcare</t>
        </is>
      </c>
      <c r="C284" t="inlineStr"/>
      <c r="D284" t="inlineStr">
        <is>
          <t>Manufacturer</t>
        </is>
      </c>
      <c r="E284" t="inlineStr">
        <is>
          <t>PPE</t>
        </is>
      </c>
      <c r="F284" t="inlineStr">
        <is>
          <t>Wound Care, Lab Consumables, Syringes &amp; Needles, IV Infusion Sets, Gauze &amp; Bandages, Disinfectants, IV Cannulas, Catheters</t>
        </is>
      </c>
      <c r="G284" t="inlineStr"/>
      <c r="H284" t="inlineStr">
        <is>
          <t>https://www.medzell.net/main-categories-application/therapeutic-devices/</t>
        </is>
      </c>
      <c r="I284" t="inlineStr">
        <is>
          <t>nitin@wheelchairsolution.com</t>
        </is>
      </c>
      <c r="L284" t="inlineStr"/>
      <c r="M284" t="inlineStr"/>
      <c r="N284" t="inlineStr">
        <is>
          <t>TUV</t>
        </is>
      </c>
      <c r="O284" t="inlineStr">
        <is>
          <t>https://www.medzell.net/company/nuk-healthcare/</t>
        </is>
      </c>
      <c r="Q284" t="n">
        <v>25</v>
      </c>
      <c r="R284">
        <f>IF(Q284="","",IF(Q284&gt;=60,"HIGH",IF(Q284&gt;=30,"MEDIUM","LOW")))</f>
        <v/>
      </c>
      <c r="S284" t="inlineStr">
        <is>
          <t>New</t>
        </is>
      </c>
      <c r="T284" t="inlineStr">
        <is>
          <t>2026-03-05</t>
        </is>
      </c>
      <c r="U284" t="inlineStr">
        <is>
          <t>Seed=Medzell; Seed-file: output/medzell_company_urls.txt</t>
        </is>
      </c>
    </row>
    <row r="285">
      <c r="A285" t="n">
        <v>284</v>
      </c>
      <c r="B285" t="inlineStr">
        <is>
          <t>Cutting-Edge Gym Fitness and Rehabilitation Equipment | Oceanic Fitness Private</t>
        </is>
      </c>
      <c r="C285" t="inlineStr"/>
      <c r="D285" t="inlineStr">
        <is>
          <t>Manufacturer</t>
        </is>
      </c>
      <c r="E285" t="inlineStr">
        <is>
          <t>PPE</t>
        </is>
      </c>
      <c r="F285" t="inlineStr">
        <is>
          <t>Wound Care, Lab Consumables, Syringes &amp; Needles, IV Infusion Sets, Catheters, Gauze &amp; Bandages, Disinfectants, IV Cannulas</t>
        </is>
      </c>
      <c r="G285" t="inlineStr"/>
      <c r="H285" t="inlineStr">
        <is>
          <t>https://www.medzell.net/main-categories-application/therapeutic-devices/</t>
        </is>
      </c>
      <c r="I285" t="inlineStr">
        <is>
          <t>oceanicfitness@gmail.com</t>
        </is>
      </c>
      <c r="L285" t="inlineStr"/>
      <c r="M285" t="inlineStr">
        <is>
          <t>Stated</t>
        </is>
      </c>
      <c r="N285" t="inlineStr">
        <is>
          <t>TUV</t>
        </is>
      </c>
      <c r="O285" t="inlineStr">
        <is>
          <t>https://www.medzell.net/company/oceanic-fitness-private-limited/</t>
        </is>
      </c>
      <c r="Q285" t="n">
        <v>35</v>
      </c>
      <c r="R285">
        <f>IF(Q285="","",IF(Q285&gt;=60,"HIGH",IF(Q285&gt;=30,"MEDIUM","LOW")))</f>
        <v/>
      </c>
      <c r="S285" t="inlineStr">
        <is>
          <t>New</t>
        </is>
      </c>
      <c r="T285" t="inlineStr">
        <is>
          <t>2026-03-05</t>
        </is>
      </c>
      <c r="U285" t="inlineStr">
        <is>
          <t>Seed=Medzell; Seed-file: output/medzell_company_urls.txt</t>
        </is>
      </c>
    </row>
    <row r="286">
      <c r="A286" t="n">
        <v>285</v>
      </c>
      <c r="B286" t="inlineStr">
        <is>
          <t>Discover High-Quality Medical Instruments and Disposables at ODID Medical - Enhancing Medical Care Worldwide</t>
        </is>
      </c>
      <c r="C286" t="inlineStr"/>
      <c r="D286" t="inlineStr">
        <is>
          <t>Manufacturer</t>
        </is>
      </c>
      <c r="E286" t="inlineStr">
        <is>
          <t>PPE</t>
        </is>
      </c>
      <c r="F286" t="inlineStr">
        <is>
          <t>Wound Care, Lab Consumables, Syringes &amp; Needles, IV Infusion Sets, Gauze &amp; Bandages, Disinfectants, IV Cannulas, Catheters</t>
        </is>
      </c>
      <c r="G286" t="inlineStr"/>
      <c r="H286" t="inlineStr">
        <is>
          <t>https://www.medzell.net/main-categories-application/therapeutic-devices/</t>
        </is>
      </c>
      <c r="I286" t="inlineStr">
        <is>
          <t>odidmedical@gmail.com</t>
        </is>
      </c>
      <c r="L286" t="inlineStr">
        <is>
          <t>Stated</t>
        </is>
      </c>
      <c r="M286" t="inlineStr"/>
      <c r="N286" t="inlineStr">
        <is>
          <t>TUV</t>
        </is>
      </c>
      <c r="O286" t="inlineStr">
        <is>
          <t>https://www.medzell.net/company/odid-medical/</t>
        </is>
      </c>
      <c r="Q286" t="n">
        <v>30</v>
      </c>
      <c r="R286">
        <f>IF(Q286="","",IF(Q286&gt;=60,"HIGH",IF(Q286&gt;=30,"MEDIUM","LOW")))</f>
        <v/>
      </c>
      <c r="S286" t="inlineStr">
        <is>
          <t>New</t>
        </is>
      </c>
      <c r="T286" t="inlineStr">
        <is>
          <t>2026-03-05</t>
        </is>
      </c>
      <c r="U286" t="inlineStr">
        <is>
          <t>Seed=Medzell; Seed-file: output/medzell_company_urls.txt</t>
        </is>
      </c>
    </row>
    <row r="287">
      <c r="A287" t="n">
        <v>286</v>
      </c>
      <c r="B287" t="inlineStr">
        <is>
          <t>Revolutionizing Medical Equipment Reprocessing: Olive Health Care - Enhancing Patient Safety and Instrument Longevity</t>
        </is>
      </c>
      <c r="C287" t="inlineStr"/>
      <c r="D287" t="inlineStr">
        <is>
          <t>Manufacturer</t>
        </is>
      </c>
      <c r="E287" t="inlineStr">
        <is>
          <t>PPE</t>
        </is>
      </c>
      <c r="F287" t="inlineStr">
        <is>
          <t>Wound Care, Lab Consumables, Syringes &amp; Needles, IV Infusion Sets, Gauze &amp; Bandages, Disinfectants, IV Cannulas, Catheters</t>
        </is>
      </c>
      <c r="G287" t="inlineStr"/>
      <c r="H287" t="inlineStr">
        <is>
          <t>https://www.medzell.net/main-categories-application/therapeutic-devices/</t>
        </is>
      </c>
      <c r="I287" t="inlineStr">
        <is>
          <t>info@oliveendoscopy.com</t>
        </is>
      </c>
      <c r="L287" t="inlineStr"/>
      <c r="M287" t="inlineStr"/>
      <c r="N287" t="inlineStr">
        <is>
          <t>TUV</t>
        </is>
      </c>
      <c r="O287" t="inlineStr">
        <is>
          <t>https://www.medzell.net/company/olive-health-care/</t>
        </is>
      </c>
      <c r="Q287" t="n">
        <v>25</v>
      </c>
      <c r="R287">
        <f>IF(Q287="","",IF(Q287&gt;=60,"HIGH",IF(Q287&gt;=30,"MEDIUM","LOW")))</f>
        <v/>
      </c>
      <c r="S287" t="inlineStr">
        <is>
          <t>New</t>
        </is>
      </c>
      <c r="T287" t="inlineStr">
        <is>
          <t>2026-03-05</t>
        </is>
      </c>
      <c r="U287" t="inlineStr">
        <is>
          <t>Seed=Medzell; Seed-file: output/medzell_company_urls.txt</t>
        </is>
      </c>
    </row>
    <row r="288">
      <c r="A288" t="n">
        <v>287</v>
      </c>
      <c r="B288" t="inlineStr">
        <is>
          <t>High-Quality Intraocular Lenses and Advanced Solutions | Omni Lens Pvt. Ltd.</t>
        </is>
      </c>
      <c r="C288" t="inlineStr"/>
      <c r="D288" t="inlineStr">
        <is>
          <t>Manufacturer</t>
        </is>
      </c>
      <c r="E288" t="inlineStr">
        <is>
          <t>PPE</t>
        </is>
      </c>
      <c r="F288" t="inlineStr">
        <is>
          <t>Wound Care, Lab Consumables, Syringes &amp; Needles, IV Infusion Sets, Gauze &amp; Bandages, Disinfectants, IV Cannulas, Catheters</t>
        </is>
      </c>
      <c r="G288" t="inlineStr"/>
      <c r="H288" t="inlineStr">
        <is>
          <t>https://www.medzell.net/main-categories-application/therapeutic-devices/</t>
        </is>
      </c>
      <c r="I288" t="inlineStr">
        <is>
          <t>info@omnilens.in</t>
        </is>
      </c>
      <c r="L288" t="inlineStr">
        <is>
          <t>Stated</t>
        </is>
      </c>
      <c r="M288" t="inlineStr"/>
      <c r="N288" t="inlineStr">
        <is>
          <t>TUV</t>
        </is>
      </c>
      <c r="O288" t="inlineStr">
        <is>
          <t>https://www.medzell.net/company/omni-lens-pvt-ltd/</t>
        </is>
      </c>
      <c r="Q288" t="n">
        <v>10</v>
      </c>
      <c r="R288">
        <f>IF(Q288="","",IF(Q288&gt;=60,"HIGH",IF(Q288&gt;=30,"MEDIUM","LOW")))</f>
        <v/>
      </c>
      <c r="S288" t="inlineStr">
        <is>
          <t>New</t>
        </is>
      </c>
      <c r="T288" t="inlineStr">
        <is>
          <t>2026-03-05</t>
        </is>
      </c>
      <c r="U288" t="inlineStr">
        <is>
          <t>Seed=Medzell; Seed-file: output/medzell_company_urls.txt</t>
        </is>
      </c>
    </row>
    <row r="289">
      <c r="A289" t="n">
        <v>288</v>
      </c>
      <c r="B289" t="inlineStr">
        <is>
          <t>ONTEX Medical Devices Manufacturing Pvt. Ltd. - Trusted Manufacturer of Surgical and Medical Devices</t>
        </is>
      </c>
      <c r="C289" t="inlineStr"/>
      <c r="D289" t="inlineStr">
        <is>
          <t>Manufacturer</t>
        </is>
      </c>
      <c r="E289" t="inlineStr">
        <is>
          <t>PPE</t>
        </is>
      </c>
      <c r="F289" t="inlineStr">
        <is>
          <t>Wound Care, Lab Consumables, Syringes &amp; Needles, IV Infusion Sets, Gauze &amp; Bandages, Disinfectants, IV Cannulas, Catheters</t>
        </is>
      </c>
      <c r="G289" t="inlineStr"/>
      <c r="H289" t="inlineStr">
        <is>
          <t>https://www.medzell.net/main-categories-application/therapeutic-devices/</t>
        </is>
      </c>
      <c r="I289" t="inlineStr">
        <is>
          <t>goswami@onlinesurgicals.com</t>
        </is>
      </c>
      <c r="L289" t="inlineStr">
        <is>
          <t>Stated</t>
        </is>
      </c>
      <c r="M289" t="inlineStr"/>
      <c r="N289" t="inlineStr">
        <is>
          <t>TUV</t>
        </is>
      </c>
      <c r="O289" t="inlineStr">
        <is>
          <t>https://www.medzell.net/company/ontex-medical-devices-manufacturing-pvt-ltd/</t>
        </is>
      </c>
      <c r="Q289" t="n">
        <v>10</v>
      </c>
      <c r="R289">
        <f>IF(Q289="","",IF(Q289&gt;=60,"HIGH",IF(Q289&gt;=30,"MEDIUM","LOW")))</f>
        <v/>
      </c>
      <c r="S289" t="inlineStr">
        <is>
          <t>New</t>
        </is>
      </c>
      <c r="T289" t="inlineStr">
        <is>
          <t>2026-03-05</t>
        </is>
      </c>
      <c r="U289" t="inlineStr">
        <is>
          <t>Seed=Medzell; Seed-file: output/medzell_company_urls.txt</t>
        </is>
      </c>
    </row>
    <row r="290">
      <c r="A290" t="n">
        <v>289</v>
      </c>
      <c r="B290" t="inlineStr">
        <is>
          <t>Ophtechnics Unlimited: Top Manufacturer of Ophthalmic &amp; Medical Supplies</t>
        </is>
      </c>
      <c r="C290" t="inlineStr"/>
      <c r="D290" t="inlineStr">
        <is>
          <t>Manufacturer</t>
        </is>
      </c>
      <c r="E290" t="inlineStr">
        <is>
          <t>PPE</t>
        </is>
      </c>
      <c r="F290" t="inlineStr">
        <is>
          <t>Wound Care, Lab Consumables, Syringes &amp; Needles, IV Infusion Sets, Gauze &amp; Bandages, Disinfectants, IV Cannulas, Catheters</t>
        </is>
      </c>
      <c r="G290" t="inlineStr"/>
      <c r="H290" t="inlineStr">
        <is>
          <t>https://www.medzell.net/main-categories-application/therapeutic-devices/</t>
        </is>
      </c>
      <c r="I290" t="inlineStr">
        <is>
          <t>info@ophtechnicsunlimited.com</t>
        </is>
      </c>
      <c r="L290" t="inlineStr">
        <is>
          <t>Stated</t>
        </is>
      </c>
      <c r="M290" t="inlineStr"/>
      <c r="N290" t="inlineStr">
        <is>
          <t>TUV</t>
        </is>
      </c>
      <c r="O290" t="inlineStr">
        <is>
          <t>https://www.medzell.net/company/ophtechnics-unlimited/</t>
        </is>
      </c>
      <c r="Q290" t="n">
        <v>10</v>
      </c>
      <c r="R290">
        <f>IF(Q290="","",IF(Q290&gt;=60,"HIGH",IF(Q290&gt;=30,"MEDIUM","LOW")))</f>
        <v/>
      </c>
      <c r="S290" t="inlineStr">
        <is>
          <t>New</t>
        </is>
      </c>
      <c r="T290" t="inlineStr">
        <is>
          <t>2026-03-05</t>
        </is>
      </c>
      <c r="U290" t="inlineStr">
        <is>
          <t>Seed=Medzell; Seed-file: output/medzell_company_urls.txt</t>
        </is>
      </c>
    </row>
    <row r="291">
      <c r="A291" t="n">
        <v>290</v>
      </c>
      <c r="B291" t="inlineStr">
        <is>
          <t>Optimedics LLP: Top Supplier of Non-Invasive ICU Medical Ventilators</t>
        </is>
      </c>
      <c r="C291" t="inlineStr"/>
      <c r="D291" t="inlineStr">
        <is>
          <t>Manufacturer</t>
        </is>
      </c>
      <c r="E291" t="inlineStr">
        <is>
          <t>PPE</t>
        </is>
      </c>
      <c r="F291" t="inlineStr">
        <is>
          <t>Wound Care, Lab Consumables, Syringes &amp; Needles, IV Infusion Sets, Gauze &amp; Bandages, Disinfectants, IV Cannulas, Catheters</t>
        </is>
      </c>
      <c r="G291" t="inlineStr"/>
      <c r="H291" t="inlineStr">
        <is>
          <t>https://www.medzell.net/main-categories-application/therapeutic-devices/</t>
        </is>
      </c>
      <c r="I291" t="inlineStr">
        <is>
          <t>sales@optimedics.co</t>
        </is>
      </c>
      <c r="L291" t="inlineStr">
        <is>
          <t>Stated</t>
        </is>
      </c>
      <c r="M291" t="inlineStr"/>
      <c r="N291" t="inlineStr">
        <is>
          <t>TUV</t>
        </is>
      </c>
      <c r="O291" t="inlineStr">
        <is>
          <t>https://www.medzell.net/company/optimedics-llp/</t>
        </is>
      </c>
      <c r="Q291" t="n">
        <v>10</v>
      </c>
      <c r="R291">
        <f>IF(Q291="","",IF(Q291&gt;=60,"HIGH",IF(Q291&gt;=30,"MEDIUM","LOW")))</f>
        <v/>
      </c>
      <c r="S291" t="inlineStr">
        <is>
          <t>New</t>
        </is>
      </c>
      <c r="T291" t="inlineStr">
        <is>
          <t>2026-03-05</t>
        </is>
      </c>
      <c r="U291" t="inlineStr">
        <is>
          <t>Seed=Medzell; Seed-file: output/medzell_company_urls.txt</t>
        </is>
      </c>
    </row>
    <row r="292">
      <c r="A292" t="n">
        <v>291</v>
      </c>
      <c r="B292" t="inlineStr">
        <is>
          <t>High Performance Electrosurgical and Vessel Sealing Systems | Orion Medical Technologies</t>
        </is>
      </c>
      <c r="C292" t="inlineStr"/>
      <c r="D292" t="inlineStr">
        <is>
          <t>Manufacturer</t>
        </is>
      </c>
      <c r="E292" t="inlineStr">
        <is>
          <t>PPE</t>
        </is>
      </c>
      <c r="F292" t="inlineStr">
        <is>
          <t>Wound Care, Lab Consumables, Syringes &amp; Needles, IV Infusion Sets, Gauze &amp; Bandages, Disinfectants, IV Cannulas, Catheters</t>
        </is>
      </c>
      <c r="G292" t="inlineStr"/>
      <c r="H292" t="inlineStr">
        <is>
          <t>https://www.medzell.net/main-categories-application/therapeutic-devices/</t>
        </is>
      </c>
      <c r="I292" t="inlineStr">
        <is>
          <t>info@unitedmedicalindia.com</t>
        </is>
      </c>
      <c r="L292" t="inlineStr">
        <is>
          <t>Stated</t>
        </is>
      </c>
      <c r="M292" t="inlineStr">
        <is>
          <t>Stated</t>
        </is>
      </c>
      <c r="N292" t="inlineStr">
        <is>
          <t>TUV</t>
        </is>
      </c>
      <c r="O292" t="inlineStr">
        <is>
          <t>https://www.medzell.net/company/orion-medical-technologies/</t>
        </is>
      </c>
      <c r="Q292" t="n">
        <v>0</v>
      </c>
      <c r="R292">
        <f>IF(Q292="","",IF(Q292&gt;=60,"HIGH",IF(Q292&gt;=30,"MEDIUM","LOW")))</f>
        <v/>
      </c>
      <c r="S292" t="inlineStr">
        <is>
          <t>New</t>
        </is>
      </c>
      <c r="T292" t="inlineStr">
        <is>
          <t>2026-03-05</t>
        </is>
      </c>
      <c r="U292" t="inlineStr">
        <is>
          <t>Seed=Medzell; Seed-file: output/medzell_company_urls.txt</t>
        </is>
      </c>
    </row>
    <row r="293">
      <c r="A293" t="n">
        <v>292</v>
      </c>
      <c r="B293" t="inlineStr">
        <is>
          <t>Oruba Technology: Innovative Self-Operating Uroflowmeter Manufacturer</t>
        </is>
      </c>
      <c r="C293" t="inlineStr"/>
      <c r="D293" t="inlineStr">
        <is>
          <t>Manufacturer</t>
        </is>
      </c>
      <c r="E293" t="inlineStr">
        <is>
          <t>PPE</t>
        </is>
      </c>
      <c r="F293" t="inlineStr">
        <is>
          <t>Wound Care, Lab Consumables, Syringes &amp; Needles, IV Infusion Sets, Catheters, Gauze &amp; Bandages, Disinfectants, IV Cannulas</t>
        </is>
      </c>
      <c r="G293" t="inlineStr"/>
      <c r="H293" t="inlineStr">
        <is>
          <t>https://www.medzell.net/main-categories-application/therapeutic-devices/</t>
        </is>
      </c>
      <c r="I293" t="inlineStr">
        <is>
          <t>arkin@oruba.health</t>
        </is>
      </c>
      <c r="L293" t="inlineStr"/>
      <c r="M293" t="inlineStr"/>
      <c r="N293" t="inlineStr">
        <is>
          <t>TUV</t>
        </is>
      </c>
      <c r="O293" t="inlineStr">
        <is>
          <t>https://www.medzell.net/company/oruba-technology-innovation/</t>
        </is>
      </c>
      <c r="Q293" t="n">
        <v>25</v>
      </c>
      <c r="R293">
        <f>IF(Q293="","",IF(Q293&gt;=60,"HIGH",IF(Q293&gt;=30,"MEDIUM","LOW")))</f>
        <v/>
      </c>
      <c r="S293" t="inlineStr">
        <is>
          <t>New</t>
        </is>
      </c>
      <c r="T293" t="inlineStr">
        <is>
          <t>2026-03-05</t>
        </is>
      </c>
      <c r="U293" t="inlineStr">
        <is>
          <t>Seed=Medzell; Seed-file: output/medzell_company_urls.txt</t>
        </is>
      </c>
    </row>
    <row r="294">
      <c r="A294" t="n">
        <v>293</v>
      </c>
      <c r="B294" t="inlineStr">
        <is>
          <t>Orvee Medical Solutions | Advanced X-Ray Machines &amp; Digital Radiography Solutions</t>
        </is>
      </c>
      <c r="C294" t="inlineStr"/>
      <c r="D294" t="inlineStr">
        <is>
          <t>Manufacturer</t>
        </is>
      </c>
      <c r="E294" t="inlineStr">
        <is>
          <t>PPE</t>
        </is>
      </c>
      <c r="F294" t="inlineStr">
        <is>
          <t>Wound Care, Lab Consumables, Syringes &amp; Needles, IV Infusion Sets, Gauze &amp; Bandages, Disinfectants, IV Cannulas, Catheters</t>
        </is>
      </c>
      <c r="G294" t="inlineStr"/>
      <c r="H294" t="inlineStr">
        <is>
          <t>https://www.medzell.net/main-categories-application/therapeutic-devices/</t>
        </is>
      </c>
      <c r="I294" t="inlineStr">
        <is>
          <t>salesorvee@gmail.com</t>
        </is>
      </c>
      <c r="L294" t="inlineStr"/>
      <c r="M294" t="inlineStr"/>
      <c r="N294" t="inlineStr">
        <is>
          <t>TUV</t>
        </is>
      </c>
      <c r="O294" t="inlineStr">
        <is>
          <t>https://www.medzell.net/company/orvee-medical-solutions-private-limited/</t>
        </is>
      </c>
      <c r="Q294" t="n">
        <v>45</v>
      </c>
      <c r="R294">
        <f>IF(Q294="","",IF(Q294&gt;=60,"HIGH",IF(Q294&gt;=30,"MEDIUM","LOW")))</f>
        <v/>
      </c>
      <c r="S294" t="inlineStr">
        <is>
          <t>New</t>
        </is>
      </c>
      <c r="T294" t="inlineStr">
        <is>
          <t>2026-03-05</t>
        </is>
      </c>
      <c r="U294" t="inlineStr">
        <is>
          <t>Seed=Medzell; Seed-file: output/medzell_company_urls.txt</t>
        </is>
      </c>
    </row>
    <row r="295">
      <c r="A295" t="n">
        <v>294</v>
      </c>
      <c r="B295" t="inlineStr">
        <is>
          <t>Osteocare Medical Pvt. Ltd.: Leading Manufacturer of Arthroscopy Instruments</t>
        </is>
      </c>
      <c r="C295" t="inlineStr"/>
      <c r="D295" t="inlineStr">
        <is>
          <t>Manufacturer</t>
        </is>
      </c>
      <c r="E295" t="inlineStr">
        <is>
          <t>PPE</t>
        </is>
      </c>
      <c r="F295" t="inlineStr">
        <is>
          <t>Wound Care, Lab Consumables, Syringes &amp; Needles, IV Infusion Sets, Gauze &amp; Bandages, Disinfectants, IV Cannulas, Catheters</t>
        </is>
      </c>
      <c r="G295" t="inlineStr"/>
      <c r="H295" t="inlineStr">
        <is>
          <t>https://www.medzell.net/main-categories-application/therapeutic-devices/</t>
        </is>
      </c>
      <c r="I295" t="inlineStr">
        <is>
          <t>export@osteocaremedical.com</t>
        </is>
      </c>
      <c r="L295" t="inlineStr">
        <is>
          <t>Stated</t>
        </is>
      </c>
      <c r="M295" t="inlineStr"/>
      <c r="N295" t="inlineStr">
        <is>
          <t>TUV</t>
        </is>
      </c>
      <c r="O295" t="inlineStr">
        <is>
          <t>https://www.medzell.net/company/osteocare-medical-pvt-ltd/</t>
        </is>
      </c>
      <c r="Q295" t="n">
        <v>10</v>
      </c>
      <c r="R295">
        <f>IF(Q295="","",IF(Q295&gt;=60,"HIGH",IF(Q295&gt;=30,"MEDIUM","LOW")))</f>
        <v/>
      </c>
      <c r="S295" t="inlineStr">
        <is>
          <t>New</t>
        </is>
      </c>
      <c r="T295" t="inlineStr">
        <is>
          <t>2026-03-05</t>
        </is>
      </c>
      <c r="U295" t="inlineStr">
        <is>
          <t>Seed=Medzell; Seed-file: output/medzell_company_urls.txt</t>
        </is>
      </c>
    </row>
    <row r="296">
      <c r="A296" t="n">
        <v>295</v>
      </c>
      <c r="B296" t="inlineStr">
        <is>
          <t>Top Manufacturer Of Electric Wheelchairs, Hospital Beds &amp; Mobility Scooters | Ostrich Mobility Instruments</t>
        </is>
      </c>
      <c r="C296" t="inlineStr"/>
      <c r="D296" t="inlineStr">
        <is>
          <t>Manufacturer</t>
        </is>
      </c>
      <c r="E296" t="inlineStr">
        <is>
          <t>PPE</t>
        </is>
      </c>
      <c r="F296" t="inlineStr">
        <is>
          <t>Wound Care, Lab Consumables, Syringes &amp; Needles, IV Infusion Sets, Gauze &amp; Bandages, Disinfectants, IV Cannulas, Catheters</t>
        </is>
      </c>
      <c r="G296" t="inlineStr"/>
      <c r="H296" t="inlineStr">
        <is>
          <t>https://www.medzell.net/main-categories-application/therapeutic-devices/</t>
        </is>
      </c>
      <c r="I296" t="inlineStr">
        <is>
          <t>info@ostrichmobility.com</t>
        </is>
      </c>
      <c r="L296" t="inlineStr">
        <is>
          <t>Stated</t>
        </is>
      </c>
      <c r="M296" t="inlineStr">
        <is>
          <t>Stated</t>
        </is>
      </c>
      <c r="N296" t="inlineStr">
        <is>
          <t>TUV</t>
        </is>
      </c>
      <c r="O296" t="inlineStr">
        <is>
          <t>https://www.medzell.net/company/ostrich-mobility-instruments-pvt-ltd/</t>
        </is>
      </c>
      <c r="Q296" t="n">
        <v>0</v>
      </c>
      <c r="R296">
        <f>IF(Q296="","",IF(Q296&gt;=60,"HIGH",IF(Q296&gt;=30,"MEDIUM","LOW")))</f>
        <v/>
      </c>
      <c r="S296" t="inlineStr">
        <is>
          <t>New</t>
        </is>
      </c>
      <c r="T296" t="inlineStr">
        <is>
          <t>2026-03-05</t>
        </is>
      </c>
      <c r="U296" t="inlineStr">
        <is>
          <t>Seed=Medzell; Seed-file: output/medzell_company_urls.txt</t>
        </is>
      </c>
    </row>
    <row r="297">
      <c r="A297" t="n">
        <v>296</v>
      </c>
      <c r="B297" t="inlineStr">
        <is>
          <t>Otta Medical: Leading Manufacturer of Intramedullary Nail System</t>
        </is>
      </c>
      <c r="C297" t="inlineStr"/>
      <c r="D297" t="inlineStr">
        <is>
          <t>Manufacturer</t>
        </is>
      </c>
      <c r="E297" t="inlineStr">
        <is>
          <t>PPE</t>
        </is>
      </c>
      <c r="F297" t="inlineStr">
        <is>
          <t>Wound Care, Lab Consumables, Syringes &amp; Needles, IV Infusion Sets, Gauze &amp; Bandages, Disinfectants, IV Cannulas, Catheters</t>
        </is>
      </c>
      <c r="G297" t="inlineStr"/>
      <c r="H297" t="inlineStr">
        <is>
          <t>https://www.medzell.net/main-categories-application/therapeutic-devices/</t>
        </is>
      </c>
      <c r="I297" t="inlineStr">
        <is>
          <t>yigit.aksoy@ottamedical.com.tr</t>
        </is>
      </c>
      <c r="L297" t="inlineStr">
        <is>
          <t>Stated</t>
        </is>
      </c>
      <c r="M297" t="inlineStr"/>
      <c r="N297" t="inlineStr">
        <is>
          <t>TUV</t>
        </is>
      </c>
      <c r="O297" t="inlineStr">
        <is>
          <t>https://www.medzell.net/company/otta-medical/</t>
        </is>
      </c>
      <c r="Q297" t="n">
        <v>10</v>
      </c>
      <c r="R297">
        <f>IF(Q297="","",IF(Q297&gt;=60,"HIGH",IF(Q297&gt;=30,"MEDIUM","LOW")))</f>
        <v/>
      </c>
      <c r="S297" t="inlineStr">
        <is>
          <t>New</t>
        </is>
      </c>
      <c r="T297" t="inlineStr">
        <is>
          <t>2026-03-05</t>
        </is>
      </c>
      <c r="U297" t="inlineStr">
        <is>
          <t>Seed=Medzell; Seed-file: output/medzell_company_urls.txt</t>
        </is>
      </c>
    </row>
    <row r="298">
      <c r="A298" t="n">
        <v>297</v>
      </c>
      <c r="B298" t="inlineStr">
        <is>
          <t>Preeminent producer of systems for generating oxygen and nitrogen</t>
        </is>
      </c>
      <c r="C298" t="inlineStr"/>
      <c r="D298" t="inlineStr">
        <is>
          <t>Manufacturer</t>
        </is>
      </c>
      <c r="E298" t="inlineStr">
        <is>
          <t>PPE</t>
        </is>
      </c>
      <c r="F298" t="inlineStr">
        <is>
          <t>Wound Care, Lab Consumables, Syringes &amp; Needles, IV Infusion Sets, Gauze &amp; Bandages, Disinfectants, IV Cannulas, Catheters</t>
        </is>
      </c>
      <c r="G298" t="inlineStr"/>
      <c r="H298" t="inlineStr">
        <is>
          <t>https://www.medzell.net/main-categories-application/therapeutic-devices/</t>
        </is>
      </c>
      <c r="I298" t="inlineStr">
        <is>
          <t>kiran@oxair.in</t>
        </is>
      </c>
      <c r="L298" t="inlineStr">
        <is>
          <t>Stated</t>
        </is>
      </c>
      <c r="M298" t="inlineStr"/>
      <c r="N298" t="inlineStr">
        <is>
          <t>TUV</t>
        </is>
      </c>
      <c r="O298" t="inlineStr">
        <is>
          <t>https://www.medzell.net/company/oxair-gas-systems-india-pvt-limited/</t>
        </is>
      </c>
      <c r="Q298" t="n">
        <v>10</v>
      </c>
      <c r="R298">
        <f>IF(Q298="","",IF(Q298&gt;=60,"HIGH",IF(Q298&gt;=30,"MEDIUM","LOW")))</f>
        <v/>
      </c>
      <c r="S298" t="inlineStr">
        <is>
          <t>New</t>
        </is>
      </c>
      <c r="T298" t="inlineStr">
        <is>
          <t>2026-03-05</t>
        </is>
      </c>
      <c r="U298" t="inlineStr">
        <is>
          <t>Seed=Medzell; Seed-file: output/medzell_company_urls.txt</t>
        </is>
      </c>
    </row>
    <row r="299">
      <c r="A299" t="n">
        <v>298</v>
      </c>
      <c r="B299" t="inlineStr">
        <is>
          <t>Top-Quality Medical Equipment and Supplies Manufacturer and Exporter - Pal Surgical and Medical (PSM)</t>
        </is>
      </c>
      <c r="C299" t="inlineStr"/>
      <c r="D299" t="inlineStr">
        <is>
          <t>Manufacturer</t>
        </is>
      </c>
      <c r="E299" t="inlineStr">
        <is>
          <t>PPE</t>
        </is>
      </c>
      <c r="F299" t="inlineStr">
        <is>
          <t>Wound Care, Lab Consumables, Syringes &amp; Needles, IV Infusion Sets, Gauze &amp; Bandages, Disinfectants, IV Cannulas, Catheters</t>
        </is>
      </c>
      <c r="G299" t="inlineStr"/>
      <c r="H299" t="inlineStr">
        <is>
          <t>https://www.medzell.net/main-categories-application/therapeutic-devices/</t>
        </is>
      </c>
      <c r="I299" t="inlineStr">
        <is>
          <t>p.surgicalmedical76@gmail.com</t>
        </is>
      </c>
      <c r="L299" t="inlineStr">
        <is>
          <t>Stated</t>
        </is>
      </c>
      <c r="M299" t="inlineStr">
        <is>
          <t>Stated</t>
        </is>
      </c>
      <c r="N299" t="inlineStr">
        <is>
          <t>GMP, TUV</t>
        </is>
      </c>
      <c r="O299" t="inlineStr">
        <is>
          <t>https://www.medzell.net/company/pal-surgical-and-medical/</t>
        </is>
      </c>
      <c r="Q299" t="n">
        <v>20</v>
      </c>
      <c r="R299">
        <f>IF(Q299="","",IF(Q299&gt;=60,"HIGH",IF(Q299&gt;=30,"MEDIUM","LOW")))</f>
        <v/>
      </c>
      <c r="S299" t="inlineStr">
        <is>
          <t>New</t>
        </is>
      </c>
      <c r="T299" t="inlineStr">
        <is>
          <t>2026-03-05</t>
        </is>
      </c>
      <c r="U299" t="inlineStr">
        <is>
          <t>Seed=Medzell; Seed-file: output/medzell_company_urls.txt</t>
        </is>
      </c>
    </row>
    <row r="300">
      <c r="A300" t="n">
        <v>299</v>
      </c>
      <c r="B300" t="inlineStr">
        <is>
          <t>Revolutionary Surgical Products Transforming Healthcare - Palakkad Industries</t>
        </is>
      </c>
      <c r="C300" t="inlineStr"/>
      <c r="D300" t="inlineStr">
        <is>
          <t>Manufacturer</t>
        </is>
      </c>
      <c r="E300" t="inlineStr">
        <is>
          <t>PPE</t>
        </is>
      </c>
      <c r="F300" t="inlineStr">
        <is>
          <t>Wound Care, Lab Consumables, Syringes &amp; Needles, IV Infusion Sets, Gauze &amp; Bandages, Disinfectants, IV Cannulas, Catheters</t>
        </is>
      </c>
      <c r="G300" t="inlineStr"/>
      <c r="H300" t="inlineStr">
        <is>
          <t>https://www.medzell.net/main-categories-application/therapeutic-devices/</t>
        </is>
      </c>
      <c r="I300" t="inlineStr">
        <is>
          <t>info@psimedical.net</t>
        </is>
      </c>
      <c r="L300" t="inlineStr">
        <is>
          <t>Stated</t>
        </is>
      </c>
      <c r="M300" t="inlineStr"/>
      <c r="N300" t="inlineStr">
        <is>
          <t>TUV</t>
        </is>
      </c>
      <c r="O300" t="inlineStr">
        <is>
          <t>https://www.medzell.net/company/palakkad-surgical-industries-psi-medical/</t>
        </is>
      </c>
      <c r="Q300" t="n">
        <v>10</v>
      </c>
      <c r="R300">
        <f>IF(Q300="","",IF(Q300&gt;=60,"HIGH",IF(Q300&gt;=30,"MEDIUM","LOW")))</f>
        <v/>
      </c>
      <c r="S300" t="inlineStr">
        <is>
          <t>New</t>
        </is>
      </c>
      <c r="T300" t="inlineStr">
        <is>
          <t>2026-03-05</t>
        </is>
      </c>
      <c r="U300" t="inlineStr">
        <is>
          <t>Seed=Medzell; Seed-file: output/medzell_company_urls.txt</t>
        </is>
      </c>
    </row>
    <row r="301">
      <c r="A301" t="n">
        <v>300</v>
      </c>
      <c r="B301" t="inlineStr">
        <is>
          <t>Papier Creations: Leading Manufacturer of Disposable Personal Care Products for Babies, Adults, and Pets</t>
        </is>
      </c>
      <c r="C301" t="inlineStr"/>
      <c r="D301" t="inlineStr">
        <is>
          <t>Manufacturer</t>
        </is>
      </c>
      <c r="E301" t="inlineStr">
        <is>
          <t>PPE</t>
        </is>
      </c>
      <c r="F301" t="inlineStr">
        <is>
          <t>Wound Care, Lab Consumables, Syringes &amp; Needles, IV Infusion Sets, Gauze &amp; Bandages, Disinfectants, IV Cannulas, Catheters</t>
        </is>
      </c>
      <c r="G301" t="inlineStr"/>
      <c r="H301" t="inlineStr">
        <is>
          <t>https://www.medzell.net/main-categories-application/therapeutic-devices/</t>
        </is>
      </c>
      <c r="I301" t="inlineStr">
        <is>
          <t>info@papiercreations.com</t>
        </is>
      </c>
      <c r="L301" t="inlineStr"/>
      <c r="M301" t="inlineStr"/>
      <c r="N301" t="inlineStr">
        <is>
          <t>TUV</t>
        </is>
      </c>
      <c r="O301" t="inlineStr">
        <is>
          <t>https://www.medzell.net/company/papier-creations-hygiene-products/</t>
        </is>
      </c>
      <c r="Q301" t="n">
        <v>25</v>
      </c>
      <c r="R301">
        <f>IF(Q301="","",IF(Q301&gt;=60,"HIGH",IF(Q301&gt;=30,"MEDIUM","LOW")))</f>
        <v/>
      </c>
      <c r="S301" t="inlineStr">
        <is>
          <t>New</t>
        </is>
      </c>
      <c r="T301" t="inlineStr">
        <is>
          <t>2026-03-05</t>
        </is>
      </c>
      <c r="U301" t="inlineStr">
        <is>
          <t>Seed=Medzell; Seed-file: output/medzell_company_urls.txt</t>
        </is>
      </c>
    </row>
    <row r="302">
      <c r="A302" t="n">
        <v>301</v>
      </c>
      <c r="B302" t="inlineStr">
        <is>
          <t>Top-Quality Wheelchairs for Enhanced Mobility | PEAAR Healthtech LLP</t>
        </is>
      </c>
      <c r="C302" t="inlineStr"/>
      <c r="D302" t="inlineStr">
        <is>
          <t>Manufacturer</t>
        </is>
      </c>
      <c r="E302" t="inlineStr">
        <is>
          <t>PPE</t>
        </is>
      </c>
      <c r="F302" t="inlineStr">
        <is>
          <t>Wound Care, Lab Consumables, Syringes &amp; Needles, IV Infusion Sets, Gauze &amp; Bandages, Disinfectants, IV Cannulas, Catheters</t>
        </is>
      </c>
      <c r="G302" t="inlineStr"/>
      <c r="H302" t="inlineStr">
        <is>
          <t>https://www.medzell.net/main-categories-application/therapeutic-devices/</t>
        </is>
      </c>
      <c r="I302" t="inlineStr">
        <is>
          <t>contact@medimoveindia.com</t>
        </is>
      </c>
      <c r="L302" t="inlineStr">
        <is>
          <t>Stated</t>
        </is>
      </c>
      <c r="M302" t="inlineStr"/>
      <c r="N302" t="inlineStr">
        <is>
          <t>TUV</t>
        </is>
      </c>
      <c r="O302" t="inlineStr">
        <is>
          <t>https://www.medzell.net/company/peaar-healthtech-llp/</t>
        </is>
      </c>
      <c r="Q302" t="n">
        <v>10</v>
      </c>
      <c r="R302">
        <f>IF(Q302="","",IF(Q302&gt;=60,"HIGH",IF(Q302&gt;=30,"MEDIUM","LOW")))</f>
        <v/>
      </c>
      <c r="S302" t="inlineStr">
        <is>
          <t>New</t>
        </is>
      </c>
      <c r="T302" t="inlineStr">
        <is>
          <t>2026-03-05</t>
        </is>
      </c>
      <c r="U302" t="inlineStr">
        <is>
          <t>Seed=Medzell; Seed-file: output/medzell_company_urls.txt</t>
        </is>
      </c>
    </row>
    <row r="303">
      <c r="A303" t="n">
        <v>302</v>
      </c>
      <c r="B303" t="inlineStr">
        <is>
          <t>Peerless Biotech – Innovating Laboratory Diagnostic &amp; Home Healthcare Solutions Since 2001</t>
        </is>
      </c>
      <c r="C303" t="inlineStr"/>
      <c r="D303" t="inlineStr">
        <is>
          <t>Manufacturer</t>
        </is>
      </c>
      <c r="E303" t="inlineStr">
        <is>
          <t>PPE</t>
        </is>
      </c>
      <c r="F303" t="inlineStr">
        <is>
          <t>Wound Care, Lab Consumables, Syringes &amp; Needles, IV Infusion Sets, Gauze &amp; Bandages, Disinfectants, IV Cannulas, Catheters</t>
        </is>
      </c>
      <c r="G303" t="inlineStr"/>
      <c r="H303" t="inlineStr">
        <is>
          <t>https://www.medzell.net/main-categories-application/therapeutic-devices/</t>
        </is>
      </c>
      <c r="I303" t="inlineStr">
        <is>
          <t>ajiths@peerlessbio.com</t>
        </is>
      </c>
      <c r="L303" t="inlineStr"/>
      <c r="M303" t="inlineStr"/>
      <c r="N303" t="inlineStr">
        <is>
          <t>TUV</t>
        </is>
      </c>
      <c r="O303" t="inlineStr">
        <is>
          <t>https://www.medzell.net/company/peerless-biotech-pvt-ltd/</t>
        </is>
      </c>
      <c r="Q303" t="n">
        <v>25</v>
      </c>
      <c r="R303">
        <f>IF(Q303="","",IF(Q303&gt;=60,"HIGH",IF(Q303&gt;=30,"MEDIUM","LOW")))</f>
        <v/>
      </c>
      <c r="S303" t="inlineStr">
        <is>
          <t>New</t>
        </is>
      </c>
      <c r="T303" t="inlineStr">
        <is>
          <t>2026-03-05</t>
        </is>
      </c>
      <c r="U303" t="inlineStr">
        <is>
          <t>Seed=Medzell; Seed-file: output/medzell_company_urls.txt</t>
        </is>
      </c>
    </row>
    <row r="304">
      <c r="A304" t="n">
        <v>303</v>
      </c>
      <c r="B304" t="inlineStr">
        <is>
          <t>Photon Cleantech Inc.: Leading Source of Medical Cabins, Air Cleaners, Medical Showers, and More</t>
        </is>
      </c>
      <c r="C304" t="inlineStr"/>
      <c r="D304" t="inlineStr">
        <is>
          <t>Manufacturer</t>
        </is>
      </c>
      <c r="E304" t="inlineStr">
        <is>
          <t>PPE</t>
        </is>
      </c>
      <c r="F304" t="inlineStr">
        <is>
          <t>Wound Care, Lab Consumables, Syringes &amp; Needles, IV Infusion Sets, Gauze &amp; Bandages, Disinfectants, IV Cannulas, Catheters</t>
        </is>
      </c>
      <c r="G304" t="inlineStr"/>
      <c r="H304" t="inlineStr">
        <is>
          <t>https://www.medzell.net/main-categories-application/therapeutic-devices/</t>
        </is>
      </c>
      <c r="I304" t="inlineStr">
        <is>
          <t>photoncleantech@gmail.com</t>
        </is>
      </c>
      <c r="L304" t="inlineStr"/>
      <c r="M304" t="inlineStr"/>
      <c r="N304" t="inlineStr">
        <is>
          <t>TUV</t>
        </is>
      </c>
      <c r="O304" t="inlineStr">
        <is>
          <t>https://www.medzell.net/company/photon-cleantech-inc/</t>
        </is>
      </c>
      <c r="Q304" t="n">
        <v>45</v>
      </c>
      <c r="R304">
        <f>IF(Q304="","",IF(Q304&gt;=60,"HIGH",IF(Q304&gt;=30,"MEDIUM","LOW")))</f>
        <v/>
      </c>
      <c r="S304" t="inlineStr">
        <is>
          <t>New</t>
        </is>
      </c>
      <c r="T304" t="inlineStr">
        <is>
          <t>2026-03-05</t>
        </is>
      </c>
      <c r="U304" t="inlineStr">
        <is>
          <t>Seed=Medzell; Seed-file: output/medzell_company_urls.txt</t>
        </is>
      </c>
    </row>
    <row r="305">
      <c r="A305" t="n">
        <v>304</v>
      </c>
      <c r="B305" t="inlineStr">
        <is>
          <t>Plasti Surge Industries – Pioneering Medical Disposables &amp; Healthcare Solutions</t>
        </is>
      </c>
      <c r="C305" t="inlineStr"/>
      <c r="D305" t="inlineStr">
        <is>
          <t>Manufacturer</t>
        </is>
      </c>
      <c r="E305" t="inlineStr">
        <is>
          <t>PPE</t>
        </is>
      </c>
      <c r="F305" t="inlineStr">
        <is>
          <t>Wound Care, Lab Consumables, Syringes &amp; Needles, IV Infusion Sets, Gauze &amp; Bandages, Disinfectants, IV Cannulas, Catheters</t>
        </is>
      </c>
      <c r="G305" t="inlineStr"/>
      <c r="H305" t="inlineStr">
        <is>
          <t>https://www.medzell.net/main-categories-application/therapeutic-devices/</t>
        </is>
      </c>
      <c r="I305" t="inlineStr">
        <is>
          <t>sales@psidispo.com</t>
        </is>
      </c>
      <c r="L305" t="inlineStr">
        <is>
          <t>Stated</t>
        </is>
      </c>
      <c r="M305" t="inlineStr"/>
      <c r="N305" t="inlineStr">
        <is>
          <t>FDA, TUV</t>
        </is>
      </c>
      <c r="O305" t="inlineStr">
        <is>
          <t>https://www.medzell.net/company/plasti-surge-industries-pvt-ltd/</t>
        </is>
      </c>
      <c r="Q305" t="n">
        <v>10</v>
      </c>
      <c r="R305">
        <f>IF(Q305="","",IF(Q305&gt;=60,"HIGH",IF(Q305&gt;=30,"MEDIUM","LOW")))</f>
        <v/>
      </c>
      <c r="S305" t="inlineStr">
        <is>
          <t>New</t>
        </is>
      </c>
      <c r="T305" t="inlineStr">
        <is>
          <t>2026-03-05</t>
        </is>
      </c>
      <c r="U305" t="inlineStr">
        <is>
          <t>Seed=Medzell; Seed-file: output/medzell_company_urls.txt</t>
        </is>
      </c>
    </row>
    <row r="306">
      <c r="A306" t="n">
        <v>305</v>
      </c>
      <c r="B306" t="inlineStr">
        <is>
          <t>ZP MEDIHEAL: Pioneering Excellence in Sterile Surgical Glove Production</t>
        </is>
      </c>
      <c r="C306" t="inlineStr"/>
      <c r="D306" t="inlineStr">
        <is>
          <t>Manufacturer</t>
        </is>
      </c>
      <c r="E306" t="inlineStr">
        <is>
          <t>PPE</t>
        </is>
      </c>
      <c r="F306" t="inlineStr">
        <is>
          <t>Wound Care, Lab Consumables, Syringes &amp; Needles, IV Infusion Sets, Gloves, Gauze &amp; Bandages, Disinfectants, IV Cannulas, Catheters</t>
        </is>
      </c>
      <c r="G306" t="inlineStr"/>
      <c r="H306" t="inlineStr">
        <is>
          <t>https://www.medzell.net/main-categories-application/therapeutic-devices/</t>
        </is>
      </c>
      <c r="I306" t="inlineStr">
        <is>
          <t>office@zpmediheal.com</t>
        </is>
      </c>
      <c r="L306" t="inlineStr">
        <is>
          <t>Stated</t>
        </is>
      </c>
      <c r="M306" t="inlineStr"/>
      <c r="N306" t="inlineStr">
        <is>
          <t>FDA, TUV</t>
        </is>
      </c>
      <c r="O306" t="inlineStr">
        <is>
          <t>https://www.medzell.net/company/pm-network-zp-mediheal/</t>
        </is>
      </c>
      <c r="Q306" t="n">
        <v>10</v>
      </c>
      <c r="R306">
        <f>IF(Q306="","",IF(Q306&gt;=60,"HIGH",IF(Q306&gt;=30,"MEDIUM","LOW")))</f>
        <v/>
      </c>
      <c r="S306" t="inlineStr">
        <is>
          <t>New</t>
        </is>
      </c>
      <c r="T306" t="inlineStr">
        <is>
          <t>2026-03-05</t>
        </is>
      </c>
      <c r="U306" t="inlineStr">
        <is>
          <t>Seed=Medzell; Seed-file: output/medzell_company_urls.txt</t>
        </is>
      </c>
    </row>
    <row r="307">
      <c r="A307" t="n">
        <v>306</v>
      </c>
      <c r="B307" t="inlineStr">
        <is>
          <t>PMT Healthcare – Trusted Manufacturer &amp; Exporter of Medical Furniture &amp; Hospital Equipment</t>
        </is>
      </c>
      <c r="C307" t="inlineStr"/>
      <c r="D307" t="inlineStr">
        <is>
          <t>Manufacturer</t>
        </is>
      </c>
      <c r="E307" t="inlineStr">
        <is>
          <t>PPE</t>
        </is>
      </c>
      <c r="F307" t="inlineStr">
        <is>
          <t>Wound Care, Lab Consumables, Syringes &amp; Needles, IV Infusion Sets, Gauze &amp; Bandages, Disinfectants, IV Cannulas, Catheters</t>
        </is>
      </c>
      <c r="G307" t="inlineStr"/>
      <c r="H307" t="inlineStr">
        <is>
          <t>https://www.medzell.net/main-categories-application/therapeutic-devices/</t>
        </is>
      </c>
      <c r="I307" t="inlineStr">
        <is>
          <t>info@pmthealthcare.com</t>
        </is>
      </c>
      <c r="L307" t="inlineStr">
        <is>
          <t>Stated</t>
        </is>
      </c>
      <c r="M307" t="inlineStr"/>
      <c r="N307" t="inlineStr">
        <is>
          <t>GMP, TUV</t>
        </is>
      </c>
      <c r="O307" t="inlineStr">
        <is>
          <t>https://www.medzell.net/company/pmt-healthcare-pvt-ltd/</t>
        </is>
      </c>
      <c r="Q307" t="n">
        <v>10</v>
      </c>
      <c r="R307">
        <f>IF(Q307="","",IF(Q307&gt;=60,"HIGH",IF(Q307&gt;=30,"MEDIUM","LOW")))</f>
        <v/>
      </c>
      <c r="S307" t="inlineStr">
        <is>
          <t>New</t>
        </is>
      </c>
      <c r="T307" t="inlineStr">
        <is>
          <t>2026-03-05</t>
        </is>
      </c>
      <c r="U307" t="inlineStr">
        <is>
          <t>Seed=Medzell; Seed-file: output/medzell_company_urls.txt</t>
        </is>
      </c>
    </row>
    <row r="308">
      <c r="A308" t="n">
        <v>307</v>
      </c>
      <c r="B308" t="inlineStr">
        <is>
          <t>Poly Medicure: Top Manufacturer of Medical Catheters, Tubes &amp; More</t>
        </is>
      </c>
      <c r="C308" t="inlineStr"/>
      <c r="D308" t="inlineStr">
        <is>
          <t>Manufacturer</t>
        </is>
      </c>
      <c r="E308" t="inlineStr">
        <is>
          <t>PPE</t>
        </is>
      </c>
      <c r="F308" t="inlineStr">
        <is>
          <t>Wound Care, Catheters, Lab Consumables, Syringes &amp; Needles, IV Infusion Sets, Gauze &amp; Bandages, Disinfectants, IV Cannulas</t>
        </is>
      </c>
      <c r="G308" t="inlineStr"/>
      <c r="H308" t="inlineStr">
        <is>
          <t>https://www.medzell.net/main-categories-application/therapeutic-devices/</t>
        </is>
      </c>
      <c r="I308" t="inlineStr">
        <is>
          <t>info@polymedicure.com</t>
        </is>
      </c>
      <c r="L308" t="inlineStr">
        <is>
          <t>Stated</t>
        </is>
      </c>
      <c r="M308" t="inlineStr"/>
      <c r="N308" t="inlineStr">
        <is>
          <t>TUV</t>
        </is>
      </c>
      <c r="O308" t="inlineStr">
        <is>
          <t>https://www.medzell.net/company/poly-medicure-limited-polymed/</t>
        </is>
      </c>
      <c r="Q308" t="n">
        <v>10</v>
      </c>
      <c r="R308">
        <f>IF(Q308="","",IF(Q308&gt;=60,"HIGH",IF(Q308&gt;=30,"MEDIUM","LOW")))</f>
        <v/>
      </c>
      <c r="S308" t="inlineStr">
        <is>
          <t>New</t>
        </is>
      </c>
      <c r="T308" t="inlineStr">
        <is>
          <t>2026-03-05</t>
        </is>
      </c>
      <c r="U308" t="inlineStr">
        <is>
          <t>Seed=Medzell; Seed-file: output/medzell_company_urls.txt</t>
        </is>
      </c>
    </row>
    <row r="309">
      <c r="A309" t="n">
        <v>308</v>
      </c>
      <c r="B309" t="inlineStr">
        <is>
          <t>Potent Medical – Pioneering Laser Technology for Urological Care</t>
        </is>
      </c>
      <c r="C309" t="inlineStr"/>
      <c r="D309" t="inlineStr">
        <is>
          <t>Manufacturer</t>
        </is>
      </c>
      <c r="E309" t="inlineStr">
        <is>
          <t>PPE</t>
        </is>
      </c>
      <c r="F309" t="inlineStr">
        <is>
          <t>Wound Care, Lab Consumables, Syringes &amp; Needles, IV Infusion Sets, Catheters, Gauze &amp; Bandages, Disinfectants, IV Cannulas</t>
        </is>
      </c>
      <c r="G309" t="inlineStr"/>
      <c r="H309" t="inlineStr">
        <is>
          <t>https://www.medzell.net/main-categories-application/therapeutic-devices/</t>
        </is>
      </c>
      <c r="I309" t="inlineStr">
        <is>
          <t>potentmedicalservice@potent-medical.com</t>
        </is>
      </c>
      <c r="L309" t="inlineStr">
        <is>
          <t>Stated</t>
        </is>
      </c>
      <c r="M309" t="inlineStr"/>
      <c r="N309" t="inlineStr">
        <is>
          <t>FDA, TUV</t>
        </is>
      </c>
      <c r="O309" t="inlineStr">
        <is>
          <t>https://www.medzell.net/company/potent-medical/</t>
        </is>
      </c>
      <c r="Q309" t="n">
        <v>10</v>
      </c>
      <c r="R309">
        <f>IF(Q309="","",IF(Q309&gt;=60,"HIGH",IF(Q309&gt;=30,"MEDIUM","LOW")))</f>
        <v/>
      </c>
      <c r="S309" t="inlineStr">
        <is>
          <t>New</t>
        </is>
      </c>
      <c r="T309" t="inlineStr">
        <is>
          <t>2026-03-05</t>
        </is>
      </c>
      <c r="U309" t="inlineStr">
        <is>
          <t>Seed=Medzell; Seed-file: output/medzell_company_urls.txt</t>
        </is>
      </c>
    </row>
    <row r="310">
      <c r="A310" t="n">
        <v>309</v>
      </c>
      <c r="B310" t="inlineStr">
        <is>
          <t>PR Flexmake Private Limited | Leading Manufacturer of Orthopedic Aids and Rehabilitation Products</t>
        </is>
      </c>
      <c r="C310" t="inlineStr"/>
      <c r="D310" t="inlineStr">
        <is>
          <t>Manufacturer</t>
        </is>
      </c>
      <c r="E310" t="inlineStr">
        <is>
          <t>PPE</t>
        </is>
      </c>
      <c r="F310" t="inlineStr">
        <is>
          <t>Wound Care, Lab Consumables, Syringes &amp; Needles, IV Infusion Sets, Gauze &amp; Bandages, Disinfectants, IV Cannulas, Catheters</t>
        </is>
      </c>
      <c r="G310" t="inlineStr"/>
      <c r="H310" t="inlineStr">
        <is>
          <t>https://www.medzell.net/main-categories-application/therapeutic-devices/</t>
        </is>
      </c>
      <c r="I310" t="inlineStr">
        <is>
          <t>sales@pcareall.com</t>
        </is>
      </c>
      <c r="L310" t="inlineStr">
        <is>
          <t>Stated</t>
        </is>
      </c>
      <c r="M310" t="inlineStr"/>
      <c r="N310" t="inlineStr">
        <is>
          <t>GMP, TUV</t>
        </is>
      </c>
      <c r="O310" t="inlineStr">
        <is>
          <t>https://www.medzell.net/company/pr-flexmake-private-limited/</t>
        </is>
      </c>
      <c r="Q310" t="n">
        <v>10</v>
      </c>
      <c r="R310">
        <f>IF(Q310="","",IF(Q310&gt;=60,"HIGH",IF(Q310&gt;=30,"MEDIUM","LOW")))</f>
        <v/>
      </c>
      <c r="S310" t="inlineStr">
        <is>
          <t>New</t>
        </is>
      </c>
      <c r="T310" t="inlineStr">
        <is>
          <t>2026-03-05</t>
        </is>
      </c>
      <c r="U310" t="inlineStr">
        <is>
          <t>Seed=Medzell; Seed-file: output/medzell_company_urls.txt</t>
        </is>
      </c>
    </row>
    <row r="311">
      <c r="A311" t="n">
        <v>310</v>
      </c>
      <c r="B311" t="inlineStr">
        <is>
          <t>Trusted Manufacturer and Supplier of Laboratory Devices - Precision Biomed Private Limited</t>
        </is>
      </c>
      <c r="C311" t="inlineStr"/>
      <c r="D311" t="inlineStr">
        <is>
          <t>Manufacturer</t>
        </is>
      </c>
      <c r="E311" t="inlineStr">
        <is>
          <t>PPE</t>
        </is>
      </c>
      <c r="F311" t="inlineStr">
        <is>
          <t>Wound Care, Lab Consumables, Syringes &amp; Needles, IV Infusion Sets, Gauze &amp; Bandages, Disinfectants, IV Cannulas, Catheters</t>
        </is>
      </c>
      <c r="G311" t="inlineStr"/>
      <c r="H311" t="inlineStr">
        <is>
          <t>https://www.medzell.net/main-categories-application/therapeutic-devices/</t>
        </is>
      </c>
      <c r="I311" t="inlineStr">
        <is>
          <t>info@precisionbiomed.in</t>
        </is>
      </c>
      <c r="L311" t="inlineStr">
        <is>
          <t>Stated</t>
        </is>
      </c>
      <c r="M311" t="inlineStr"/>
      <c r="N311" t="inlineStr">
        <is>
          <t>GMP, TUV</t>
        </is>
      </c>
      <c r="O311" t="inlineStr">
        <is>
          <t>https://www.medzell.net/company/precision-biomed-private-limited/</t>
        </is>
      </c>
      <c r="Q311" t="n">
        <v>10</v>
      </c>
      <c r="R311">
        <f>IF(Q311="","",IF(Q311&gt;=60,"HIGH",IF(Q311&gt;=30,"MEDIUM","LOW")))</f>
        <v/>
      </c>
      <c r="S311" t="inlineStr">
        <is>
          <t>New</t>
        </is>
      </c>
      <c r="T311" t="inlineStr">
        <is>
          <t>2026-03-05</t>
        </is>
      </c>
      <c r="U311" t="inlineStr">
        <is>
          <t>Seed=Medzell; Seed-file: output/medzell_company_urls.txt</t>
        </is>
      </c>
    </row>
    <row r="312">
      <c r="A312" t="n">
        <v>311</v>
      </c>
      <c r="B312" t="inlineStr">
        <is>
          <t>Pregna International Ltd. - Leading Provider of Reliable Contraceptive Solutions Worldwide</t>
        </is>
      </c>
      <c r="C312" t="inlineStr"/>
      <c r="D312" t="inlineStr">
        <is>
          <t>Manufacturer</t>
        </is>
      </c>
      <c r="E312" t="inlineStr">
        <is>
          <t>PPE</t>
        </is>
      </c>
      <c r="F312" t="inlineStr">
        <is>
          <t>Wound Care, Lab Consumables, Syringes &amp; Needles, IV Infusion Sets, Gauze &amp; Bandages, Disinfectants, IV Cannulas, Catheters</t>
        </is>
      </c>
      <c r="G312" t="inlineStr"/>
      <c r="H312" t="inlineStr">
        <is>
          <t>https://www.medzell.net/main-categories-application/therapeutic-devices/</t>
        </is>
      </c>
      <c r="I312" t="inlineStr">
        <is>
          <t>bharat.kadam@pregna.com</t>
        </is>
      </c>
      <c r="L312" t="inlineStr">
        <is>
          <t>Stated</t>
        </is>
      </c>
      <c r="M312" t="inlineStr"/>
      <c r="N312" t="inlineStr">
        <is>
          <t>GMP, TUV</t>
        </is>
      </c>
      <c r="O312" t="inlineStr">
        <is>
          <t>https://www.medzell.net/company/pregna-international-ltd/</t>
        </is>
      </c>
      <c r="Q312" t="n">
        <v>10</v>
      </c>
      <c r="R312">
        <f>IF(Q312="","",IF(Q312&gt;=60,"HIGH",IF(Q312&gt;=30,"MEDIUM","LOW")))</f>
        <v/>
      </c>
      <c r="S312" t="inlineStr">
        <is>
          <t>New</t>
        </is>
      </c>
      <c r="T312" t="inlineStr">
        <is>
          <t>2026-03-05</t>
        </is>
      </c>
      <c r="U312" t="inlineStr">
        <is>
          <t>Seed=Medzell; Seed-file: output/medzell_company_urls.txt</t>
        </is>
      </c>
    </row>
    <row r="313">
      <c r="A313" t="n">
        <v>312</v>
      </c>
      <c r="B313" t="inlineStr">
        <is>
          <t>Premier Healthcare Industries: Trusted Supplier of Hospital Furniture, Surgical and Critical Care Equipment</t>
        </is>
      </c>
      <c r="C313" t="inlineStr"/>
      <c r="D313" t="inlineStr">
        <is>
          <t>Manufacturer</t>
        </is>
      </c>
      <c r="E313" t="inlineStr">
        <is>
          <t>PPE</t>
        </is>
      </c>
      <c r="F313" t="inlineStr">
        <is>
          <t>Wound Care, Lab Consumables, Syringes &amp; Needles, IV Infusion Sets, Gauze &amp; Bandages, Disinfectants, IV Cannulas, Catheters</t>
        </is>
      </c>
      <c r="G313" t="inlineStr"/>
      <c r="H313" t="inlineStr">
        <is>
          <t>https://www.medzell.net/main-categories-application/therapeutic-devices/</t>
        </is>
      </c>
      <c r="I313" t="inlineStr">
        <is>
          <t>charu@premierhealthcare.co.in</t>
        </is>
      </c>
      <c r="L313" t="inlineStr">
        <is>
          <t>Stated</t>
        </is>
      </c>
      <c r="M313" t="inlineStr"/>
      <c r="N313" t="inlineStr">
        <is>
          <t>TUV</t>
        </is>
      </c>
      <c r="O313" t="inlineStr">
        <is>
          <t>https://www.medzell.net/company/premier-healthcare-industries/</t>
        </is>
      </c>
      <c r="Q313" t="n">
        <v>10</v>
      </c>
      <c r="R313">
        <f>IF(Q313="","",IF(Q313&gt;=60,"HIGH",IF(Q313&gt;=30,"MEDIUM","LOW")))</f>
        <v/>
      </c>
      <c r="S313" t="inlineStr">
        <is>
          <t>New</t>
        </is>
      </c>
      <c r="T313" t="inlineStr">
        <is>
          <t>2026-03-05</t>
        </is>
      </c>
      <c r="U313" t="inlineStr">
        <is>
          <t>Seed=Medzell; Seed-file: output/medzell_company_urls.txt</t>
        </is>
      </c>
    </row>
    <row r="314">
      <c r="A314" t="n">
        <v>313</v>
      </c>
      <c r="B314" t="inlineStr">
        <is>
          <t>Top Surgical &amp; Healthcare Equipment Manufacturer - Pridex Medicare Pvt. Ltd.</t>
        </is>
      </c>
      <c r="C314" t="inlineStr"/>
      <c r="D314" t="inlineStr">
        <is>
          <t>Manufacturer</t>
        </is>
      </c>
      <c r="E314" t="inlineStr">
        <is>
          <t>PPE</t>
        </is>
      </c>
      <c r="F314" t="inlineStr">
        <is>
          <t>Wound Care, Lab Consumables, Syringes &amp; Needles, IV Infusion Sets, Gauze &amp; Bandages, Disinfectants, IV Cannulas, Catheters</t>
        </is>
      </c>
      <c r="G314" t="inlineStr"/>
      <c r="H314" t="inlineStr">
        <is>
          <t>https://www.medzell.net/main-categories-application/therapeutic-devices/</t>
        </is>
      </c>
      <c r="I314" t="inlineStr">
        <is>
          <t>neha.kulkarni@pridex.in</t>
        </is>
      </c>
      <c r="L314" t="inlineStr">
        <is>
          <t>Stated</t>
        </is>
      </c>
      <c r="M314" t="inlineStr"/>
      <c r="N314" t="inlineStr">
        <is>
          <t>TUV</t>
        </is>
      </c>
      <c r="O314" t="inlineStr">
        <is>
          <t>https://www.medzell.net/company/pridex-medicare-pvt-ltd/</t>
        </is>
      </c>
      <c r="Q314" t="n">
        <v>10</v>
      </c>
      <c r="R314">
        <f>IF(Q314="","",IF(Q314&gt;=60,"HIGH",IF(Q314&gt;=30,"MEDIUM","LOW")))</f>
        <v/>
      </c>
      <c r="S314" t="inlineStr">
        <is>
          <t>New</t>
        </is>
      </c>
      <c r="T314" t="inlineStr">
        <is>
          <t>2026-03-05</t>
        </is>
      </c>
      <c r="U314" t="inlineStr">
        <is>
          <t>Seed=Medzell; Seed-file: output/medzell_company_urls.txt</t>
        </is>
      </c>
    </row>
    <row r="315">
      <c r="A315" t="n">
        <v>314</v>
      </c>
      <c r="B315" t="inlineStr">
        <is>
          <t>High-Quality Disposable Intravenous Cannulas Manufacturer in India - Prime Healthcare Products</t>
        </is>
      </c>
      <c r="C315" t="inlineStr"/>
      <c r="D315" t="inlineStr">
        <is>
          <t>Manufacturer</t>
        </is>
      </c>
      <c r="E315" t="inlineStr">
        <is>
          <t>PPE</t>
        </is>
      </c>
      <c r="F315" t="inlineStr">
        <is>
          <t>Wound Care, IV Infusion Sets, Lab Consumables, Syringes &amp; Needles, IV Cannulas, Gauze &amp; Bandages, Disinfectants, Catheters</t>
        </is>
      </c>
      <c r="G315" t="inlineStr"/>
      <c r="H315" t="inlineStr">
        <is>
          <t>https://www.medzell.net/main-categories-application/therapeutic-devices/</t>
        </is>
      </c>
      <c r="I315" t="inlineStr">
        <is>
          <t>info@primehp.in</t>
        </is>
      </c>
      <c r="L315" t="inlineStr">
        <is>
          <t>Stated</t>
        </is>
      </c>
      <c r="M315" t="inlineStr"/>
      <c r="N315" t="inlineStr">
        <is>
          <t>GMP, TUV</t>
        </is>
      </c>
      <c r="O315" t="inlineStr">
        <is>
          <t>https://www.medzell.net/company/prime-healthcare-products-pvt-ltd/</t>
        </is>
      </c>
      <c r="Q315" t="n">
        <v>10</v>
      </c>
      <c r="R315">
        <f>IF(Q315="","",IF(Q315&gt;=60,"HIGH",IF(Q315&gt;=30,"MEDIUM","LOW")))</f>
        <v/>
      </c>
      <c r="S315" t="inlineStr">
        <is>
          <t>New</t>
        </is>
      </c>
      <c r="T315" t="inlineStr">
        <is>
          <t>2026-03-05</t>
        </is>
      </c>
      <c r="U315" t="inlineStr">
        <is>
          <t>Seed=Medzell; Seed-file: output/medzell_company_urls.txt</t>
        </is>
      </c>
    </row>
    <row r="316">
      <c r="A316" t="n">
        <v>315</v>
      </c>
      <c r="B316" t="inlineStr">
        <is>
          <t>Top-Quality Respiratory Protection and Ergonomic Devices | Prodancy Pvt. Ltd.</t>
        </is>
      </c>
      <c r="C316" t="inlineStr"/>
      <c r="D316" t="inlineStr">
        <is>
          <t>Manufacturer</t>
        </is>
      </c>
      <c r="E316" t="inlineStr">
        <is>
          <t>PPE</t>
        </is>
      </c>
      <c r="F316" t="inlineStr">
        <is>
          <t>Wound Care, Lab Consumables, Syringes &amp; Needles, IV Infusion Sets, Gauze &amp; Bandages, Disinfectants, IV Cannulas, Catheters</t>
        </is>
      </c>
      <c r="G316" t="inlineStr"/>
      <c r="H316" t="inlineStr">
        <is>
          <t>https://www.medzell.net/main-categories-application/therapeutic-devices/</t>
        </is>
      </c>
      <c r="I316" t="inlineStr">
        <is>
          <t>pradeep@prodancy.com</t>
        </is>
      </c>
      <c r="L316" t="inlineStr"/>
      <c r="M316" t="inlineStr"/>
      <c r="N316" t="inlineStr">
        <is>
          <t>TUV</t>
        </is>
      </c>
      <c r="O316" t="inlineStr">
        <is>
          <t>https://www.medzell.net/company/prodancy-pvt-ltd/</t>
        </is>
      </c>
      <c r="Q316" t="n">
        <v>25</v>
      </c>
      <c r="R316">
        <f>IF(Q316="","",IF(Q316&gt;=60,"HIGH",IF(Q316&gt;=30,"MEDIUM","LOW")))</f>
        <v/>
      </c>
      <c r="S316" t="inlineStr">
        <is>
          <t>New</t>
        </is>
      </c>
      <c r="T316" t="inlineStr">
        <is>
          <t>2026-03-05</t>
        </is>
      </c>
      <c r="U316" t="inlineStr">
        <is>
          <t>Seed=Medzell; Seed-file: output/medzell_company_urls.txt</t>
        </is>
      </c>
    </row>
    <row r="317">
      <c r="A317" t="n">
        <v>316</v>
      </c>
      <c r="B317" t="inlineStr">
        <is>
          <t>Meditech Equipment - Leading Manufacturer of Medical Equipment in China</t>
        </is>
      </c>
      <c r="C317" t="inlineStr"/>
      <c r="D317" t="inlineStr">
        <is>
          <t>Manufacturer</t>
        </is>
      </c>
      <c r="E317" t="inlineStr">
        <is>
          <t>PPE</t>
        </is>
      </c>
      <c r="F317" t="inlineStr">
        <is>
          <t>Wound Care, Lab Consumables, Syringes &amp; Needles, IV Infusion Sets, Gauze &amp; Bandages, Disinfectants, IV Cannulas, Catheters</t>
        </is>
      </c>
      <c r="G317" t="inlineStr"/>
      <c r="H317" t="inlineStr">
        <is>
          <t>https://www.medzell.net/main-categories-application/therapeutic-devices/</t>
        </is>
      </c>
      <c r="I317" t="inlineStr">
        <is>
          <t>mdev@meditech.com.cn</t>
        </is>
      </c>
      <c r="L317" t="inlineStr">
        <is>
          <t>Stated</t>
        </is>
      </c>
      <c r="M317" t="inlineStr"/>
      <c r="N317" t="inlineStr">
        <is>
          <t>TUV</t>
        </is>
      </c>
      <c r="O317" t="inlineStr">
        <is>
          <t>https://www.medzell.net/company/qingdao-meditech-equipment-co-ltd/</t>
        </is>
      </c>
      <c r="Q317" t="n">
        <v>10</v>
      </c>
      <c r="R317">
        <f>IF(Q317="","",IF(Q317&gt;=60,"HIGH",IF(Q317&gt;=30,"MEDIUM","LOW")))</f>
        <v/>
      </c>
      <c r="S317" t="inlineStr">
        <is>
          <t>New</t>
        </is>
      </c>
      <c r="T317" t="inlineStr">
        <is>
          <t>2026-03-05</t>
        </is>
      </c>
      <c r="U317" t="inlineStr">
        <is>
          <t>Seed=Medzell; Seed-file: output/medzell_company_urls.txt</t>
        </is>
      </c>
    </row>
    <row r="318">
      <c r="A318" t="n">
        <v>317</v>
      </c>
      <c r="B318" t="inlineStr">
        <is>
          <t>High-Quality Electrical Cable Trays, Generator Diesel Tanks, and Soundproof Generator Canopies - R. K. Acoustic Systems</t>
        </is>
      </c>
      <c r="C318" t="inlineStr"/>
      <c r="D318" t="inlineStr">
        <is>
          <t>Manufacturer</t>
        </is>
      </c>
      <c r="E318" t="inlineStr">
        <is>
          <t>PPE</t>
        </is>
      </c>
      <c r="F318" t="inlineStr">
        <is>
          <t>Wound Care, Lab Consumables, Syringes &amp; Needles, IV Infusion Sets, Gauze &amp; Bandages, Disinfectants, IV Cannulas, Catheters</t>
        </is>
      </c>
      <c r="G318" t="inlineStr"/>
      <c r="H318" t="inlineStr">
        <is>
          <t>https://www.medzell.net/main-categories-application/therapeutic-devices/</t>
        </is>
      </c>
      <c r="I318" t="inlineStr">
        <is>
          <t>kajal.kumari@rkacoustic.com</t>
        </is>
      </c>
      <c r="L318" t="inlineStr"/>
      <c r="M318" t="inlineStr"/>
      <c r="N318" t="inlineStr">
        <is>
          <t>TUV</t>
        </is>
      </c>
      <c r="O318" t="inlineStr">
        <is>
          <t>https://www.medzell.net/company/r-k-acoustic-systems/</t>
        </is>
      </c>
      <c r="Q318" t="n">
        <v>25</v>
      </c>
      <c r="R318">
        <f>IF(Q318="","",IF(Q318&gt;=60,"HIGH",IF(Q318&gt;=30,"MEDIUM","LOW")))</f>
        <v/>
      </c>
      <c r="S318" t="inlineStr">
        <is>
          <t>New</t>
        </is>
      </c>
      <c r="T318" t="inlineStr">
        <is>
          <t>2026-03-05</t>
        </is>
      </c>
      <c r="U318" t="inlineStr">
        <is>
          <t>Seed=Medzell; Seed-file: output/medzell_company_urls.txt</t>
        </is>
      </c>
    </row>
    <row r="319">
      <c r="A319" t="n">
        <v>318</v>
      </c>
      <c r="B319" t="inlineStr">
        <is>
          <t>Premium Industrial Laboratory Equipment Supplier - RAMTECH Laboratory Products</t>
        </is>
      </c>
      <c r="C319" t="inlineStr"/>
      <c r="D319" t="inlineStr">
        <is>
          <t>Manufacturer</t>
        </is>
      </c>
      <c r="E319" t="inlineStr">
        <is>
          <t>PPE</t>
        </is>
      </c>
      <c r="F319" t="inlineStr">
        <is>
          <t>Wound Care, Lab Consumables, Syringes &amp; Needles, IV Infusion Sets, Gauze &amp; Bandages, Disinfectants, IV Cannulas, Catheters</t>
        </is>
      </c>
      <c r="G319" t="inlineStr"/>
      <c r="H319" t="inlineStr">
        <is>
          <t>https://www.medzell.net/main-categories-application/therapeutic-devices/</t>
        </is>
      </c>
      <c r="I319" t="inlineStr">
        <is>
          <t>ramtechlabins@gmail.com</t>
        </is>
      </c>
      <c r="L319" t="inlineStr"/>
      <c r="M319" t="inlineStr"/>
      <c r="N319" t="inlineStr">
        <is>
          <t>GMP, TUV</t>
        </is>
      </c>
      <c r="O319" t="inlineStr">
        <is>
          <t>https://www.medzell.net/company/ramtech-laboratory-products/</t>
        </is>
      </c>
      <c r="Q319" t="n">
        <v>45</v>
      </c>
      <c r="R319">
        <f>IF(Q319="","",IF(Q319&gt;=60,"HIGH",IF(Q319&gt;=30,"MEDIUM","LOW")))</f>
        <v/>
      </c>
      <c r="S319" t="inlineStr">
        <is>
          <t>New</t>
        </is>
      </c>
      <c r="T319" t="inlineStr">
        <is>
          <t>2026-03-05</t>
        </is>
      </c>
      <c r="U319" t="inlineStr">
        <is>
          <t>Seed=Medzell; Seed-file: output/medzell_company_urls.txt</t>
        </is>
      </c>
    </row>
    <row r="320">
      <c r="A320" t="n">
        <v>319</v>
      </c>
      <c r="B320" t="inlineStr">
        <is>
          <t>Rathi Chemicals</t>
        </is>
      </c>
      <c r="C320" t="inlineStr"/>
      <c r="D320" t="inlineStr">
        <is>
          <t>Manufacturer</t>
        </is>
      </c>
      <c r="E320" t="inlineStr">
        <is>
          <t>PPE</t>
        </is>
      </c>
      <c r="F320" t="inlineStr">
        <is>
          <t>Wound Care, Lab Consumables, Syringes &amp; Needles, IV Infusion Sets, Gauze &amp; Bandages, Disinfectants, IV Cannulas, Catheters</t>
        </is>
      </c>
      <c r="G320" t="inlineStr"/>
      <c r="H320" t="inlineStr">
        <is>
          <t>https://www.medzell.net/main-categories-application/therapeutic-devices/</t>
        </is>
      </c>
      <c r="I320" t="inlineStr">
        <is>
          <t>prakashrathi9422102187@gmail.com</t>
        </is>
      </c>
      <c r="L320" t="inlineStr"/>
      <c r="M320" t="inlineStr"/>
      <c r="N320" t="inlineStr">
        <is>
          <t>TUV</t>
        </is>
      </c>
      <c r="O320" t="inlineStr">
        <is>
          <t>https://www.medzell.net/company/rathi-chemicals/</t>
        </is>
      </c>
      <c r="Q320" t="n">
        <v>45</v>
      </c>
      <c r="R320">
        <f>IF(Q320="","",IF(Q320&gt;=60,"HIGH",IF(Q320&gt;=30,"MEDIUM","LOW")))</f>
        <v/>
      </c>
      <c r="S320" t="inlineStr">
        <is>
          <t>New</t>
        </is>
      </c>
      <c r="T320" t="inlineStr">
        <is>
          <t>2026-03-05</t>
        </is>
      </c>
      <c r="U320" t="inlineStr">
        <is>
          <t>Seed=Medzell; Seed-file: output/medzell_company_urls.txt</t>
        </is>
      </c>
    </row>
    <row r="321">
      <c r="A321" t="n">
        <v>320</v>
      </c>
      <c r="B321" t="inlineStr">
        <is>
          <t>Discover RayPure: The Revolution in Bio-Protection Disinfection Lighting</t>
        </is>
      </c>
      <c r="C321" t="inlineStr"/>
      <c r="D321" t="inlineStr">
        <is>
          <t>Manufacturer</t>
        </is>
      </c>
      <c r="E321" t="inlineStr">
        <is>
          <t>PPE</t>
        </is>
      </c>
      <c r="F321" t="inlineStr">
        <is>
          <t>Wound Care, Lab Consumables, Syringes &amp; Needles, IV Infusion Sets, Gauze &amp; Bandages, Disinfectants, IV Cannulas, Catheters</t>
        </is>
      </c>
      <c r="G321" t="inlineStr"/>
      <c r="H321" t="inlineStr">
        <is>
          <t>https://www.medzell.net/main-categories-application/therapeutic-devices/</t>
        </is>
      </c>
      <c r="I321" t="inlineStr">
        <is>
          <t>sales@ledchipindus.com</t>
        </is>
      </c>
      <c r="L321" t="inlineStr"/>
      <c r="M321" t="inlineStr"/>
      <c r="N321" t="inlineStr">
        <is>
          <t>TUV</t>
        </is>
      </c>
      <c r="O321" t="inlineStr">
        <is>
          <t>https://www.medzell.net/company/raypure-ledchip-indus-p-ltd/</t>
        </is>
      </c>
      <c r="Q321" t="n">
        <v>25</v>
      </c>
      <c r="R321">
        <f>IF(Q321="","",IF(Q321&gt;=60,"HIGH",IF(Q321&gt;=30,"MEDIUM","LOW")))</f>
        <v/>
      </c>
      <c r="S321" t="inlineStr">
        <is>
          <t>New</t>
        </is>
      </c>
      <c r="T321" t="inlineStr">
        <is>
          <t>2026-03-05</t>
        </is>
      </c>
      <c r="U321" t="inlineStr">
        <is>
          <t>Seed=Medzell; Seed-file: output/medzell_company_urls.txt</t>
        </is>
      </c>
    </row>
    <row r="322">
      <c r="A322" t="n">
        <v>321</v>
      </c>
      <c r="B322" t="inlineStr">
        <is>
          <t>RCH Orthopaedics: India's Top Producer of Implantable Orthopaedic Medical Devices</t>
        </is>
      </c>
      <c r="C322" t="inlineStr"/>
      <c r="D322" t="inlineStr">
        <is>
          <t>Manufacturer</t>
        </is>
      </c>
      <c r="E322" t="inlineStr">
        <is>
          <t>PPE</t>
        </is>
      </c>
      <c r="F322" t="inlineStr">
        <is>
          <t>Wound Care, Lab Consumables, Syringes &amp; Needles, IV Infusion Sets, Gauze &amp; Bandages, Disinfectants, IV Cannulas, Catheters</t>
        </is>
      </c>
      <c r="G322" t="inlineStr"/>
      <c r="H322" t="inlineStr">
        <is>
          <t>https://www.medzell.net/main-categories-application/therapeutic-devices/</t>
        </is>
      </c>
      <c r="I322" t="inlineStr">
        <is>
          <t>kp.rchorthopaedics@gmail.com</t>
        </is>
      </c>
      <c r="L322" t="inlineStr">
        <is>
          <t>Stated</t>
        </is>
      </c>
      <c r="M322" t="inlineStr"/>
      <c r="N322" t="inlineStr">
        <is>
          <t>GMP, TUV</t>
        </is>
      </c>
      <c r="O322" t="inlineStr">
        <is>
          <t>https://www.medzell.net/company/rch-orthopaedics/</t>
        </is>
      </c>
      <c r="Q322" t="n">
        <v>30</v>
      </c>
      <c r="R322">
        <f>IF(Q322="","",IF(Q322&gt;=60,"HIGH",IF(Q322&gt;=30,"MEDIUM","LOW")))</f>
        <v/>
      </c>
      <c r="S322" t="inlineStr">
        <is>
          <t>New</t>
        </is>
      </c>
      <c r="T322" t="inlineStr">
        <is>
          <t>2026-03-05</t>
        </is>
      </c>
      <c r="U322" t="inlineStr">
        <is>
          <t>Seed=Medzell; Seed-file: output/medzell_company_urls.txt</t>
        </is>
      </c>
    </row>
    <row r="323">
      <c r="A323" t="n">
        <v>322</v>
      </c>
      <c r="B323" t="inlineStr">
        <is>
          <t>RecombiGen Laboratories: Leading Manufacturer &amp; Supplier of Laboratory Consumables and Test Kits</t>
        </is>
      </c>
      <c r="C323" t="inlineStr"/>
      <c r="D323" t="inlineStr">
        <is>
          <t>Manufacturer</t>
        </is>
      </c>
      <c r="E323" t="inlineStr">
        <is>
          <t>PPE</t>
        </is>
      </c>
      <c r="F323" t="inlineStr">
        <is>
          <t>Lab Consumables, Wound Care, Syringes &amp; Needles, IV Infusion Sets, Gauze &amp; Bandages, Disinfectants, IV Cannulas, Catheters</t>
        </is>
      </c>
      <c r="G323" t="inlineStr"/>
      <c r="H323" t="inlineStr">
        <is>
          <t>https://www.medzell.net/main-categories-application/therapeutic-devices/</t>
        </is>
      </c>
      <c r="I323" t="inlineStr">
        <is>
          <t>export@recombigen.com</t>
        </is>
      </c>
      <c r="L323" t="inlineStr">
        <is>
          <t>Stated</t>
        </is>
      </c>
      <c r="M323" t="inlineStr"/>
      <c r="N323" t="inlineStr">
        <is>
          <t>GMP, TUV</t>
        </is>
      </c>
      <c r="O323" t="inlineStr">
        <is>
          <t>https://www.medzell.net/company/recombigen-laboratories-pvt-ltd/</t>
        </is>
      </c>
      <c r="Q323" t="n">
        <v>10</v>
      </c>
      <c r="R323">
        <f>IF(Q323="","",IF(Q323&gt;=60,"HIGH",IF(Q323&gt;=30,"MEDIUM","LOW")))</f>
        <v/>
      </c>
      <c r="S323" t="inlineStr">
        <is>
          <t>New</t>
        </is>
      </c>
      <c r="T323" t="inlineStr">
        <is>
          <t>2026-03-05</t>
        </is>
      </c>
      <c r="U323" t="inlineStr">
        <is>
          <t>Seed=Medzell; Seed-file: output/medzell_company_urls.txt</t>
        </is>
      </c>
    </row>
    <row r="324">
      <c r="A324" t="n">
        <v>323</v>
      </c>
      <c r="B324" t="inlineStr">
        <is>
          <t>RMS - Leading Manufacturer of Diagnostic Medical Equipment &amp; Hospital Solutions</t>
        </is>
      </c>
      <c r="C324" t="inlineStr"/>
      <c r="D324" t="inlineStr">
        <is>
          <t>Manufacturer</t>
        </is>
      </c>
      <c r="E324" t="inlineStr">
        <is>
          <t>PPE</t>
        </is>
      </c>
      <c r="F324" t="inlineStr">
        <is>
          <t>Wound Care, Lab Consumables, Syringes &amp; Needles, IV Infusion Sets, Gauze &amp; Bandages, Disinfectants, IV Cannulas, Catheters</t>
        </is>
      </c>
      <c r="G324" t="inlineStr"/>
      <c r="H324" t="inlineStr">
        <is>
          <t>https://www.medzell.net/main-categories-application/therapeutic-devices/</t>
        </is>
      </c>
      <c r="I324" t="inlineStr">
        <is>
          <t>abhishek@rmsindia.com</t>
        </is>
      </c>
      <c r="L324" t="inlineStr">
        <is>
          <t>Stated</t>
        </is>
      </c>
      <c r="M324" t="inlineStr"/>
      <c r="N324" t="inlineStr">
        <is>
          <t>TUV</t>
        </is>
      </c>
      <c r="O324" t="inlineStr">
        <is>
          <t>https://www.medzell.net/company/recorders-medicare-systems-pvt-ltd/</t>
        </is>
      </c>
      <c r="Q324" t="n">
        <v>10</v>
      </c>
      <c r="R324">
        <f>IF(Q324="","",IF(Q324&gt;=60,"HIGH",IF(Q324&gt;=30,"MEDIUM","LOW")))</f>
        <v/>
      </c>
      <c r="S324" t="inlineStr">
        <is>
          <t>New</t>
        </is>
      </c>
      <c r="T324" t="inlineStr">
        <is>
          <t>2026-03-05</t>
        </is>
      </c>
      <c r="U324" t="inlineStr">
        <is>
          <t>Seed=Medzell; Seed-file: output/medzell_company_urls.txt</t>
        </is>
      </c>
    </row>
    <row r="325">
      <c r="A325" t="n">
        <v>324</v>
      </c>
      <c r="B325" t="inlineStr">
        <is>
          <t>Top Quality Medical Supplies &amp; Equipment in Dubai - Regal Medical Equipments LLC</t>
        </is>
      </c>
      <c r="C325" t="inlineStr"/>
      <c r="D325" t="inlineStr">
        <is>
          <t>Manufacturer</t>
        </is>
      </c>
      <c r="E325" t="inlineStr">
        <is>
          <t>PPE</t>
        </is>
      </c>
      <c r="F325" t="inlineStr">
        <is>
          <t>Wound Care, Lab Consumables, Syringes &amp; Needles, IV Infusion Sets, Gauze &amp; Bandages, Disinfectants, IV Cannulas, Catheters</t>
        </is>
      </c>
      <c r="G325" t="inlineStr"/>
      <c r="H325" t="inlineStr">
        <is>
          <t>https://www.medzell.net/main-categories-application/therapeutic-devices/</t>
        </is>
      </c>
      <c r="I325" t="inlineStr">
        <is>
          <t>sales@regalmed.ae</t>
        </is>
      </c>
      <c r="L325" t="inlineStr"/>
      <c r="M325" t="inlineStr"/>
      <c r="N325" t="inlineStr">
        <is>
          <t>TUV</t>
        </is>
      </c>
      <c r="O325" t="inlineStr">
        <is>
          <t>https://www.medzell.net/company/regal-medical-equipments-llc/</t>
        </is>
      </c>
      <c r="Q325" t="n">
        <v>25</v>
      </c>
      <c r="R325">
        <f>IF(Q325="","",IF(Q325&gt;=60,"HIGH",IF(Q325&gt;=30,"MEDIUM","LOW")))</f>
        <v/>
      </c>
      <c r="S325" t="inlineStr">
        <is>
          <t>New</t>
        </is>
      </c>
      <c r="T325" t="inlineStr">
        <is>
          <t>2026-03-05</t>
        </is>
      </c>
      <c r="U325" t="inlineStr">
        <is>
          <t>Seed=Medzell; Seed-file: output/medzell_company_urls.txt</t>
        </is>
      </c>
    </row>
    <row r="326">
      <c r="A326" t="n">
        <v>325</v>
      </c>
      <c r="B326" t="inlineStr">
        <is>
          <t>Leading Innovator in Skin and Bone Tissue Regeneration | Regenxgen Biosolutions</t>
        </is>
      </c>
      <c r="C326" t="inlineStr"/>
      <c r="D326" t="inlineStr">
        <is>
          <t>Manufacturer</t>
        </is>
      </c>
      <c r="E326" t="inlineStr">
        <is>
          <t>PPE</t>
        </is>
      </c>
      <c r="F326" t="inlineStr">
        <is>
          <t>Wound Care, Lab Consumables, Syringes &amp; Needles, IV Infusion Sets, Gauze &amp; Bandages, Disinfectants, IV Cannulas, Catheters</t>
        </is>
      </c>
      <c r="G326" t="inlineStr"/>
      <c r="H326" t="inlineStr">
        <is>
          <t>https://www.medzell.net/main-categories-application/therapeutic-devices/</t>
        </is>
      </c>
      <c r="I326" t="inlineStr">
        <is>
          <t>info@regenxgen.com</t>
        </is>
      </c>
      <c r="L326" t="inlineStr">
        <is>
          <t>Stated</t>
        </is>
      </c>
      <c r="M326" t="inlineStr"/>
      <c r="N326" t="inlineStr">
        <is>
          <t>TUV</t>
        </is>
      </c>
      <c r="O326" t="inlineStr">
        <is>
          <t>https://www.medzell.net/company/regenxgen-biosolutions-private-limited/</t>
        </is>
      </c>
      <c r="Q326" t="n">
        <v>10</v>
      </c>
      <c r="R326">
        <f>IF(Q326="","",IF(Q326&gt;=60,"HIGH",IF(Q326&gt;=30,"MEDIUM","LOW")))</f>
        <v/>
      </c>
      <c r="S326" t="inlineStr">
        <is>
          <t>New</t>
        </is>
      </c>
      <c r="T326" t="inlineStr">
        <is>
          <t>2026-03-05</t>
        </is>
      </c>
      <c r="U326" t="inlineStr">
        <is>
          <t>Seed=Medzell; Seed-file: output/medzell_company_urls.txt</t>
        </is>
      </c>
    </row>
    <row r="327">
      <c r="A327" t="n">
        <v>326</v>
      </c>
      <c r="B327" t="inlineStr">
        <is>
          <t>Renacon Pharma: Hemodialysis Concentrates &amp; Consumables Manufacturers</t>
        </is>
      </c>
      <c r="C327" t="inlineStr"/>
      <c r="D327" t="inlineStr">
        <is>
          <t>Manufacturer</t>
        </is>
      </c>
      <c r="E327" t="inlineStr">
        <is>
          <t>PPE</t>
        </is>
      </c>
      <c r="F327" t="inlineStr">
        <is>
          <t>Wound Care, Lab Consumables, Syringes &amp; Needles, IV Infusion Sets, Gauze &amp; Bandages, Disinfectants, IV Cannulas, Catheters</t>
        </is>
      </c>
      <c r="G327" t="inlineStr"/>
      <c r="H327" t="inlineStr">
        <is>
          <t>https://www.medzell.net/main-categories-application/therapeutic-devices/</t>
        </is>
      </c>
      <c r="I327" t="inlineStr">
        <is>
          <t>umer.islam@renaconpharma.com</t>
        </is>
      </c>
      <c r="L327" t="inlineStr">
        <is>
          <t>Stated</t>
        </is>
      </c>
      <c r="M327" t="inlineStr">
        <is>
          <t>Stated</t>
        </is>
      </c>
      <c r="N327" t="inlineStr">
        <is>
          <t>GMP, SGS, TUV</t>
        </is>
      </c>
      <c r="O327" t="inlineStr">
        <is>
          <t>https://www.medzell.net/company/renacon-pharma-limited/</t>
        </is>
      </c>
      <c r="Q327" t="n">
        <v>0</v>
      </c>
      <c r="R327">
        <f>IF(Q327="","",IF(Q327&gt;=60,"HIGH",IF(Q327&gt;=30,"MEDIUM","LOW")))</f>
        <v/>
      </c>
      <c r="S327" t="inlineStr">
        <is>
          <t>New</t>
        </is>
      </c>
      <c r="T327" t="inlineStr">
        <is>
          <t>2026-03-05</t>
        </is>
      </c>
      <c r="U327" t="inlineStr">
        <is>
          <t>Seed=Medzell; Seed-file: output/medzell_company_urls.txt</t>
        </is>
      </c>
    </row>
    <row r="328">
      <c r="A328" t="n">
        <v>327</v>
      </c>
      <c r="B328" t="inlineStr">
        <is>
          <t>Reliable Manufacturer of Medical Disposables &amp; Consumables - Ribbel International Limited</t>
        </is>
      </c>
      <c r="C328" t="inlineStr"/>
      <c r="D328" t="inlineStr">
        <is>
          <t>Manufacturer</t>
        </is>
      </c>
      <c r="E328" t="inlineStr">
        <is>
          <t>PPE</t>
        </is>
      </c>
      <c r="F328" t="inlineStr">
        <is>
          <t>Wound Care, Catheters, Lab Consumables, Syringes &amp; Needles, IV Infusion Sets, Gauze &amp; Bandages, Disinfectants, IV Cannulas</t>
        </is>
      </c>
      <c r="G328" t="inlineStr"/>
      <c r="H328" t="inlineStr">
        <is>
          <t>https://www.medzell.net/main-categories-application/therapeutic-devices/</t>
        </is>
      </c>
      <c r="I328" t="inlineStr">
        <is>
          <t>salesexport@ribbel.com</t>
        </is>
      </c>
      <c r="L328" t="inlineStr">
        <is>
          <t>Stated</t>
        </is>
      </c>
      <c r="M328" t="inlineStr"/>
      <c r="N328" t="inlineStr">
        <is>
          <t>FDA, TUV</t>
        </is>
      </c>
      <c r="O328" t="inlineStr">
        <is>
          <t>https://www.medzell.net/company/ribbel-international-limited/</t>
        </is>
      </c>
      <c r="Q328" t="n">
        <v>10</v>
      </c>
      <c r="R328">
        <f>IF(Q328="","",IF(Q328&gt;=60,"HIGH",IF(Q328&gt;=30,"MEDIUM","LOW")))</f>
        <v/>
      </c>
      <c r="S328" t="inlineStr">
        <is>
          <t>New</t>
        </is>
      </c>
      <c r="T328" t="inlineStr">
        <is>
          <t>2026-03-05</t>
        </is>
      </c>
      <c r="U328" t="inlineStr">
        <is>
          <t>Seed=Medzell; Seed-file: output/medzell_company_urls.txt</t>
        </is>
      </c>
    </row>
    <row r="329">
      <c r="A329" t="n">
        <v>328</v>
      </c>
      <c r="B329" t="inlineStr">
        <is>
          <t>Alveofit – Transforming Respiratory Care with AI &amp; IoT-Enabled Solutions</t>
        </is>
      </c>
      <c r="C329" t="inlineStr"/>
      <c r="D329" t="inlineStr">
        <is>
          <t>Manufacturer</t>
        </is>
      </c>
      <c r="E329" t="inlineStr">
        <is>
          <t>PPE</t>
        </is>
      </c>
      <c r="F329" t="inlineStr">
        <is>
          <t>Wound Care, Lab Consumables, Syringes &amp; Needles, IV Infusion Sets, Gauze &amp; Bandages, Disinfectants, IV Cannulas, Catheters</t>
        </is>
      </c>
      <c r="G329" t="inlineStr"/>
      <c r="H329" t="inlineStr">
        <is>
          <t>https://www.medzell.net/main-categories-application/therapeutic-devices/</t>
        </is>
      </c>
      <c r="I329" t="inlineStr">
        <is>
          <t>support@alveo.fit</t>
        </is>
      </c>
      <c r="L329" t="inlineStr">
        <is>
          <t>Stated</t>
        </is>
      </c>
      <c r="M329" t="inlineStr"/>
      <c r="N329" t="inlineStr">
        <is>
          <t>FDA, TUV</t>
        </is>
      </c>
      <c r="O329" t="inlineStr">
        <is>
          <t>https://www.medzell.net/company/roundworks-technologies-private-limited/</t>
        </is>
      </c>
      <c r="Q329" t="n">
        <v>10</v>
      </c>
      <c r="R329">
        <f>IF(Q329="","",IF(Q329&gt;=60,"HIGH",IF(Q329&gt;=30,"MEDIUM","LOW")))</f>
        <v/>
      </c>
      <c r="S329" t="inlineStr">
        <is>
          <t>New</t>
        </is>
      </c>
      <c r="T329" t="inlineStr">
        <is>
          <t>2026-03-05</t>
        </is>
      </c>
      <c r="U329" t="inlineStr">
        <is>
          <t>Seed=Medzell; Seed-file: output/medzell_company_urls.txt</t>
        </is>
      </c>
    </row>
    <row r="330">
      <c r="A330" t="n">
        <v>329</v>
      </c>
      <c r="B330" t="inlineStr">
        <is>
          <t>Manufacturer of Caster Wheels &amp; Trolley Wheels</t>
        </is>
      </c>
      <c r="C330" t="inlineStr"/>
      <c r="D330" t="inlineStr">
        <is>
          <t>Manufacturer</t>
        </is>
      </c>
      <c r="E330" t="inlineStr">
        <is>
          <t>PPE</t>
        </is>
      </c>
      <c r="F330" t="inlineStr">
        <is>
          <t>Wound Care, Lab Consumables, Syringes &amp; Needles, IV Infusion Sets, Gauze &amp; Bandages, Disinfectants, IV Cannulas, Catheters</t>
        </is>
      </c>
      <c r="G330" t="inlineStr"/>
      <c r="H330" t="inlineStr">
        <is>
          <t>https://www.medzell.net/main-categories-application/therapeutic-devices/</t>
        </is>
      </c>
      <c r="I330" t="inlineStr">
        <is>
          <t>runnercasterswheels@gmail.com</t>
        </is>
      </c>
      <c r="L330" t="inlineStr"/>
      <c r="M330" t="inlineStr"/>
      <c r="N330" t="inlineStr">
        <is>
          <t>TUV</t>
        </is>
      </c>
      <c r="O330" t="inlineStr">
        <is>
          <t>https://www.medzell.net/company/runner-casters-wheels/</t>
        </is>
      </c>
      <c r="Q330" t="n">
        <v>45</v>
      </c>
      <c r="R330">
        <f>IF(Q330="","",IF(Q330&gt;=60,"HIGH",IF(Q330&gt;=30,"MEDIUM","LOW")))</f>
        <v/>
      </c>
      <c r="S330" t="inlineStr">
        <is>
          <t>New</t>
        </is>
      </c>
      <c r="T330" t="inlineStr">
        <is>
          <t>2026-03-05</t>
        </is>
      </c>
      <c r="U330" t="inlineStr">
        <is>
          <t>Seed=Medzell; Seed-file: output/medzell_company_urls.txt</t>
        </is>
      </c>
    </row>
    <row r="331">
      <c r="A331" t="n">
        <v>330</v>
      </c>
      <c r="B331" t="inlineStr">
        <is>
          <t>Safeshield India Rubber Products Pvt. Ltd. - High-Quality Surgical Gloves, Examination Gloves, and Face Masks</t>
        </is>
      </c>
      <c r="C331" t="inlineStr"/>
      <c r="D331" t="inlineStr">
        <is>
          <t>Manufacturer</t>
        </is>
      </c>
      <c r="E331" t="inlineStr">
        <is>
          <t>PPE</t>
        </is>
      </c>
      <c r="F331" t="inlineStr">
        <is>
          <t>Wound Care, Lab Consumables, Syringes &amp; Needles, IV Infusion Sets, Gloves, Gauze &amp; Bandages, Disinfectants, IV Cannulas, Catheters</t>
        </is>
      </c>
      <c r="G331" t="inlineStr"/>
      <c r="H331" t="inlineStr">
        <is>
          <t>https://www.medzell.net/main-categories-application/therapeutic-devices/</t>
        </is>
      </c>
      <c r="I331" t="inlineStr">
        <is>
          <t>sales@safeshieldindia.com</t>
        </is>
      </c>
      <c r="L331" t="inlineStr">
        <is>
          <t>Stated</t>
        </is>
      </c>
      <c r="M331" t="inlineStr"/>
      <c r="N331" t="inlineStr">
        <is>
          <t>FDA, GMP, TUV</t>
        </is>
      </c>
      <c r="O331" t="inlineStr">
        <is>
          <t>https://www.medzell.net/company/safeshield-india-rubber-products-pvt-ltd/</t>
        </is>
      </c>
      <c r="Q331" t="n">
        <v>10</v>
      </c>
      <c r="R331">
        <f>IF(Q331="","",IF(Q331&gt;=60,"HIGH",IF(Q331&gt;=30,"MEDIUM","LOW")))</f>
        <v/>
      </c>
      <c r="S331" t="inlineStr">
        <is>
          <t>New</t>
        </is>
      </c>
      <c r="T331" t="inlineStr">
        <is>
          <t>2026-03-05</t>
        </is>
      </c>
      <c r="U331" t="inlineStr">
        <is>
          <t>Seed=Medzell; Seed-file: output/medzell_company_urls.txt</t>
        </is>
      </c>
    </row>
    <row r="332">
      <c r="A332" t="n">
        <v>331</v>
      </c>
      <c r="B332" t="inlineStr">
        <is>
          <t>Safey Medical Devices: Empowering Respiratory Health with Spirometers and Accessories</t>
        </is>
      </c>
      <c r="C332" t="inlineStr"/>
      <c r="D332" t="inlineStr">
        <is>
          <t>Manufacturer</t>
        </is>
      </c>
      <c r="E332" t="inlineStr">
        <is>
          <t>PPE</t>
        </is>
      </c>
      <c r="F332" t="inlineStr">
        <is>
          <t>Wound Care, Lab Consumables, Syringes &amp; Needles, IV Infusion Sets, Gauze &amp; Bandages, Disinfectants, IV Cannulas, Catheters</t>
        </is>
      </c>
      <c r="G332" t="inlineStr"/>
      <c r="H332" t="inlineStr">
        <is>
          <t>https://www.medzell.net/main-categories-application/therapeutic-devices/</t>
        </is>
      </c>
      <c r="I332" t="inlineStr">
        <is>
          <t>marina@safeymedicaldevices.com</t>
        </is>
      </c>
      <c r="L332" t="inlineStr">
        <is>
          <t>Stated</t>
        </is>
      </c>
      <c r="M332" t="inlineStr"/>
      <c r="N332" t="inlineStr">
        <is>
          <t>FDA, TUV</t>
        </is>
      </c>
      <c r="O332" t="inlineStr">
        <is>
          <t>https://www.medzell.net/company/safey-medical-devices-private-limited/</t>
        </is>
      </c>
      <c r="Q332" t="n">
        <v>10</v>
      </c>
      <c r="R332">
        <f>IF(Q332="","",IF(Q332&gt;=60,"HIGH",IF(Q332&gt;=30,"MEDIUM","LOW")))</f>
        <v/>
      </c>
      <c r="S332" t="inlineStr">
        <is>
          <t>New</t>
        </is>
      </c>
      <c r="T332" t="inlineStr">
        <is>
          <t>2026-03-05</t>
        </is>
      </c>
      <c r="U332" t="inlineStr">
        <is>
          <t>Seed=Medzell; Seed-file: output/medzell_company_urls.txt</t>
        </is>
      </c>
    </row>
    <row r="333">
      <c r="A333" t="n">
        <v>332</v>
      </c>
      <c r="B333" t="inlineStr">
        <is>
          <t>Sangam Surgicals: Leader in Laparoscopic Instruments Manufacturing and Medical Supplies</t>
        </is>
      </c>
      <c r="C333" t="inlineStr"/>
      <c r="D333" t="inlineStr">
        <is>
          <t>Manufacturer</t>
        </is>
      </c>
      <c r="E333" t="inlineStr">
        <is>
          <t>PPE</t>
        </is>
      </c>
      <c r="F333" t="inlineStr">
        <is>
          <t>Wound Care, Syringes &amp; Needles, Lab Consumables, IV Infusion Sets, Gauze &amp; Bandages, Disinfectants, IV Cannulas, Catheters</t>
        </is>
      </c>
      <c r="G333" t="inlineStr"/>
      <c r="H333" t="inlineStr">
        <is>
          <t>https://www.medzell.net/main-categories-application/therapeutic-devices/</t>
        </is>
      </c>
      <c r="I333" t="inlineStr">
        <is>
          <t>sangamsurgicals2015@gmail.com</t>
        </is>
      </c>
      <c r="L333" t="inlineStr"/>
      <c r="M333" t="inlineStr"/>
      <c r="N333" t="inlineStr">
        <is>
          <t>TUV</t>
        </is>
      </c>
      <c r="O333" t="inlineStr">
        <is>
          <t>https://www.medzell.net/company/sangam-surgicals/</t>
        </is>
      </c>
      <c r="Q333" t="n">
        <v>45</v>
      </c>
      <c r="R333">
        <f>IF(Q333="","",IF(Q333&gt;=60,"HIGH",IF(Q333&gt;=30,"MEDIUM","LOW")))</f>
        <v/>
      </c>
      <c r="S333" t="inlineStr">
        <is>
          <t>New</t>
        </is>
      </c>
      <c r="T333" t="inlineStr">
        <is>
          <t>2026-03-05</t>
        </is>
      </c>
      <c r="U333" t="inlineStr">
        <is>
          <t>Seed=Medzell; Seed-file: output/medzell_company_urls.txt</t>
        </is>
      </c>
    </row>
    <row r="334">
      <c r="A334" t="n">
        <v>333</v>
      </c>
      <c r="B334" t="inlineStr">
        <is>
          <t>Santron Meditronic: Innovating Urology Care Since 1997</t>
        </is>
      </c>
      <c r="C334" t="inlineStr"/>
      <c r="D334" t="inlineStr">
        <is>
          <t>Manufacturer</t>
        </is>
      </c>
      <c r="E334" t="inlineStr">
        <is>
          <t>PPE</t>
        </is>
      </c>
      <c r="F334" t="inlineStr">
        <is>
          <t>Wound Care, Lab Consumables, Syringes &amp; Needles, IV Infusion Sets, Catheters, Gauze &amp; Bandages, Disinfectants, IV Cannulas</t>
        </is>
      </c>
      <c r="G334" t="inlineStr"/>
      <c r="H334" t="inlineStr">
        <is>
          <t>https://www.medzell.net/main-categories-application/therapeutic-devices/</t>
        </is>
      </c>
      <c r="I334" t="inlineStr">
        <is>
          <t>santronmeditronic@gmail.com</t>
        </is>
      </c>
      <c r="L334" t="inlineStr">
        <is>
          <t>Stated</t>
        </is>
      </c>
      <c r="M334" t="inlineStr"/>
      <c r="N334" t="inlineStr">
        <is>
          <t>BV, FDA, TUV</t>
        </is>
      </c>
      <c r="O334" t="inlineStr">
        <is>
          <t>https://www.medzell.net/company/santron-meditronic/</t>
        </is>
      </c>
      <c r="Q334" t="n">
        <v>30</v>
      </c>
      <c r="R334">
        <f>IF(Q334="","",IF(Q334&gt;=60,"HIGH",IF(Q334&gt;=30,"MEDIUM","LOW")))</f>
        <v/>
      </c>
      <c r="S334" t="inlineStr">
        <is>
          <t>New</t>
        </is>
      </c>
      <c r="T334" t="inlineStr">
        <is>
          <t>2026-03-05</t>
        </is>
      </c>
      <c r="U334" t="inlineStr">
        <is>
          <t>Seed=Medzell; Seed-file: output/medzell_company_urls.txt</t>
        </is>
      </c>
    </row>
    <row r="335">
      <c r="A335" t="n">
        <v>334</v>
      </c>
      <c r="B335" t="inlineStr">
        <is>
          <t>Saras Life Solutions – Leading Manufacturer of Privacy Curtain Systems &amp; Medical Infrastructure Solutions</t>
        </is>
      </c>
      <c r="C335" t="inlineStr"/>
      <c r="D335" t="inlineStr">
        <is>
          <t>Manufacturer</t>
        </is>
      </c>
      <c r="E335" t="inlineStr">
        <is>
          <t>PPE</t>
        </is>
      </c>
      <c r="F335" t="inlineStr">
        <is>
          <t>Wound Care, Lab Consumables, Syringes &amp; Needles, IV Infusion Sets, Gauze &amp; Bandages, Disinfectants, IV Cannulas, Catheters</t>
        </is>
      </c>
      <c r="G335" t="inlineStr"/>
      <c r="H335" t="inlineStr">
        <is>
          <t>https://www.medzell.net/main-categories-application/therapeutic-devices/</t>
        </is>
      </c>
      <c r="I335" t="inlineStr">
        <is>
          <t>siddharthbhusari12@gmail.com</t>
        </is>
      </c>
      <c r="L335" t="inlineStr"/>
      <c r="M335" t="inlineStr"/>
      <c r="N335" t="inlineStr">
        <is>
          <t>TUV</t>
        </is>
      </c>
      <c r="O335" t="inlineStr">
        <is>
          <t>https://www.medzell.net/company/saras-life-solutions/</t>
        </is>
      </c>
      <c r="Q335" t="n">
        <v>45</v>
      </c>
      <c r="R335">
        <f>IF(Q335="","",IF(Q335&gt;=60,"HIGH",IF(Q335&gt;=30,"MEDIUM","LOW")))</f>
        <v/>
      </c>
      <c r="S335" t="inlineStr">
        <is>
          <t>New</t>
        </is>
      </c>
      <c r="T335" t="inlineStr">
        <is>
          <t>2026-03-05</t>
        </is>
      </c>
      <c r="U335" t="inlineStr">
        <is>
          <t>Seed=Medzell; Seed-file: output/medzell_company_urls.txt</t>
        </is>
      </c>
    </row>
    <row r="336">
      <c r="A336" t="n">
        <v>335</v>
      </c>
      <c r="B336" t="inlineStr">
        <is>
          <t>Next Gen Oral Scanners for Cancer Detection | Sascan Meditech</t>
        </is>
      </c>
      <c r="C336" t="inlineStr"/>
      <c r="D336" t="inlineStr">
        <is>
          <t>Manufacturer</t>
        </is>
      </c>
      <c r="E336" t="inlineStr">
        <is>
          <t>PPE</t>
        </is>
      </c>
      <c r="F336" t="inlineStr">
        <is>
          <t>Wound Care, Lab Consumables, Syringes &amp; Needles, IV Infusion Sets, Gauze &amp; Bandages, Disinfectants, IV Cannulas, Catheters</t>
        </is>
      </c>
      <c r="G336" t="inlineStr"/>
      <c r="H336" t="inlineStr">
        <is>
          <t>https://www.medzell.net/main-categories-application/therapeutic-devices/</t>
        </is>
      </c>
      <c r="I336" t="inlineStr">
        <is>
          <t>info@sascan.in</t>
        </is>
      </c>
      <c r="L336" t="inlineStr">
        <is>
          <t>Stated</t>
        </is>
      </c>
      <c r="M336" t="inlineStr"/>
      <c r="N336" t="inlineStr">
        <is>
          <t>TUV</t>
        </is>
      </c>
      <c r="O336" t="inlineStr">
        <is>
          <t>https://www.medzell.net/company/sascan-meditech-pvt-ltd/</t>
        </is>
      </c>
      <c r="Q336" t="n">
        <v>10</v>
      </c>
      <c r="R336">
        <f>IF(Q336="","",IF(Q336&gt;=60,"HIGH",IF(Q336&gt;=30,"MEDIUM","LOW")))</f>
        <v/>
      </c>
      <c r="S336" t="inlineStr">
        <is>
          <t>New</t>
        </is>
      </c>
      <c r="T336" t="inlineStr">
        <is>
          <t>2026-03-05</t>
        </is>
      </c>
      <c r="U336" t="inlineStr">
        <is>
          <t>Seed=Medzell; Seed-file: output/medzell_company_urls.txt</t>
        </is>
      </c>
    </row>
    <row r="337">
      <c r="A337" t="n">
        <v>336</v>
      </c>
      <c r="B337" t="inlineStr">
        <is>
          <t>High-Quality Laryngoscopes and Accessories | Scope Medical Devices Pvt Ltd</t>
        </is>
      </c>
      <c r="C337" t="inlineStr"/>
      <c r="D337" t="inlineStr">
        <is>
          <t>Manufacturer</t>
        </is>
      </c>
      <c r="E337" t="inlineStr">
        <is>
          <t>PPE</t>
        </is>
      </c>
      <c r="F337" t="inlineStr">
        <is>
          <t>Wound Care, Lab Consumables, Syringes &amp; Needles, IV Infusion Sets, Gauze &amp; Bandages, Disinfectants, IV Cannulas, Catheters</t>
        </is>
      </c>
      <c r="G337" t="inlineStr"/>
      <c r="H337" t="inlineStr">
        <is>
          <t>https://www.medzell.net/main-categories-application/therapeutic-devices/</t>
        </is>
      </c>
      <c r="I337" t="inlineStr">
        <is>
          <t>social@scopemedical.in</t>
        </is>
      </c>
      <c r="L337" t="inlineStr">
        <is>
          <t>Stated</t>
        </is>
      </c>
      <c r="M337" t="inlineStr"/>
      <c r="N337" t="inlineStr">
        <is>
          <t>FDA, TUV</t>
        </is>
      </c>
      <c r="O337" t="inlineStr">
        <is>
          <t>https://www.medzell.net/company/scope-medical-devices-private-limited/</t>
        </is>
      </c>
      <c r="Q337" t="n">
        <v>10</v>
      </c>
      <c r="R337">
        <f>IF(Q337="","",IF(Q337&gt;=60,"HIGH",IF(Q337&gt;=30,"MEDIUM","LOW")))</f>
        <v/>
      </c>
      <c r="S337" t="inlineStr">
        <is>
          <t>New</t>
        </is>
      </c>
      <c r="T337" t="inlineStr">
        <is>
          <t>2026-03-05</t>
        </is>
      </c>
      <c r="U337" t="inlineStr">
        <is>
          <t>Seed=Medzell; Seed-file: output/medzell_company_urls.txt</t>
        </is>
      </c>
    </row>
    <row r="338">
      <c r="A338" t="n">
        <v>337</v>
      </c>
      <c r="B338" t="inlineStr">
        <is>
          <t>Sensa Core: India's Fastest Growing In-Vitro Diagnostics Company | High-Quality Analyzers &amp; Devices</t>
        </is>
      </c>
      <c r="C338" t="inlineStr"/>
      <c r="D338" t="inlineStr">
        <is>
          <t>Manufacturer</t>
        </is>
      </c>
      <c r="E338" t="inlineStr">
        <is>
          <t>PPE</t>
        </is>
      </c>
      <c r="F338" t="inlineStr">
        <is>
          <t>Wound Care, Lab Consumables, Syringes &amp; Needles, IV Infusion Sets, Gauze &amp; Bandages, Disinfectants, IV Cannulas, Catheters</t>
        </is>
      </c>
      <c r="G338" t="inlineStr"/>
      <c r="H338" t="inlineStr">
        <is>
          <t>https://www.medzell.net/main-categories-application/therapeutic-devices/</t>
        </is>
      </c>
      <c r="I338" t="inlineStr">
        <is>
          <t>sales@sensacore.com</t>
        </is>
      </c>
      <c r="L338" t="inlineStr">
        <is>
          <t>Stated</t>
        </is>
      </c>
      <c r="M338" t="inlineStr">
        <is>
          <t>Stated</t>
        </is>
      </c>
      <c r="N338" t="inlineStr">
        <is>
          <t>TUV</t>
        </is>
      </c>
      <c r="O338" t="inlineStr">
        <is>
          <t>https://www.medzell.net/company/sensacore-medical-instrumentation-pvt-ltd/</t>
        </is>
      </c>
      <c r="Q338" t="n">
        <v>0</v>
      </c>
      <c r="R338">
        <f>IF(Q338="","",IF(Q338&gt;=60,"HIGH",IF(Q338&gt;=30,"MEDIUM","LOW")))</f>
        <v/>
      </c>
      <c r="S338" t="inlineStr">
        <is>
          <t>New</t>
        </is>
      </c>
      <c r="T338" t="inlineStr">
        <is>
          <t>2026-03-05</t>
        </is>
      </c>
      <c r="U338" t="inlineStr">
        <is>
          <t>Seed=Medzell; Seed-file: output/medzell_company_urls.txt</t>
        </is>
      </c>
    </row>
    <row r="339">
      <c r="A339" t="n">
        <v>338</v>
      </c>
      <c r="B339" t="inlineStr">
        <is>
          <t>Revolutionizing Specialized Medical Equipment: Serwell Medi Equip's 25-Year Journey in ENT, Neurology, Laparoscopy, Gynaecology, Urology &amp; General Surgery</t>
        </is>
      </c>
      <c r="C339" t="inlineStr"/>
      <c r="D339" t="inlineStr">
        <is>
          <t>Manufacturer</t>
        </is>
      </c>
      <c r="E339" t="inlineStr">
        <is>
          <t>PPE</t>
        </is>
      </c>
      <c r="F339" t="inlineStr">
        <is>
          <t>Wound Care, Lab Consumables, Syringes &amp; Needles, IV Infusion Sets, Catheters, Gauze &amp; Bandages, Disinfectants, IV Cannulas</t>
        </is>
      </c>
      <c r="G339" t="inlineStr"/>
      <c r="H339" t="inlineStr">
        <is>
          <t>https://www.medzell.net/main-categories-application/therapeutic-devices/</t>
        </is>
      </c>
      <c r="I339" t="inlineStr">
        <is>
          <t>serwellmkg@gmail.com</t>
        </is>
      </c>
      <c r="L339" t="inlineStr"/>
      <c r="M339" t="inlineStr"/>
      <c r="N339" t="inlineStr">
        <is>
          <t>TUV</t>
        </is>
      </c>
      <c r="O339" t="inlineStr">
        <is>
          <t>https://www.medzell.net/company/serwell-medi-equip-p-ltd/</t>
        </is>
      </c>
      <c r="Q339" t="n">
        <v>45</v>
      </c>
      <c r="R339">
        <f>IF(Q339="","",IF(Q339&gt;=60,"HIGH",IF(Q339&gt;=30,"MEDIUM","LOW")))</f>
        <v/>
      </c>
      <c r="S339" t="inlineStr">
        <is>
          <t>New</t>
        </is>
      </c>
      <c r="T339" t="inlineStr">
        <is>
          <t>2026-03-05</t>
        </is>
      </c>
      <c r="U339" t="inlineStr">
        <is>
          <t>Seed=Medzell; Seed-file: output/medzell_company_urls.txt</t>
        </is>
      </c>
    </row>
    <row r="340">
      <c r="A340" t="n">
        <v>339</v>
      </c>
      <c r="B340" t="inlineStr">
        <is>
          <t>High-Quality, Affordable Medical Consumables | Sevana Medineeds</t>
        </is>
      </c>
      <c r="C340" t="inlineStr"/>
      <c r="D340" t="inlineStr">
        <is>
          <t>Manufacturer</t>
        </is>
      </c>
      <c r="E340" t="inlineStr">
        <is>
          <t>PPE</t>
        </is>
      </c>
      <c r="F340" t="inlineStr">
        <is>
          <t>Wound Care, Lab Consumables, Syringes &amp; Needles, IV Infusion Sets, Gloves, Gauze &amp; Bandages, Disinfectants, IV Cannulas, Catheters</t>
        </is>
      </c>
      <c r="G340" t="inlineStr"/>
      <c r="H340" t="inlineStr">
        <is>
          <t>https://www.medzell.net/main-categories-application/therapeutic-devices/</t>
        </is>
      </c>
      <c r="I340" t="inlineStr">
        <is>
          <t>smnsales@sevana.com</t>
        </is>
      </c>
      <c r="L340" t="inlineStr">
        <is>
          <t>Stated</t>
        </is>
      </c>
      <c r="M340" t="inlineStr"/>
      <c r="N340" t="inlineStr">
        <is>
          <t>TUV</t>
        </is>
      </c>
      <c r="O340" t="inlineStr">
        <is>
          <t>https://www.medzell.net/company/sevana-medineeds-p-ltd/</t>
        </is>
      </c>
      <c r="Q340" t="n">
        <v>10</v>
      </c>
      <c r="R340">
        <f>IF(Q340="","",IF(Q340&gt;=60,"HIGH",IF(Q340&gt;=30,"MEDIUM","LOW")))</f>
        <v/>
      </c>
      <c r="S340" t="inlineStr">
        <is>
          <t>New</t>
        </is>
      </c>
      <c r="T340" t="inlineStr">
        <is>
          <t>2026-03-05</t>
        </is>
      </c>
      <c r="U340" t="inlineStr">
        <is>
          <t>Seed=Medzell; Seed-file: output/medzell_company_urls.txt</t>
        </is>
      </c>
    </row>
    <row r="341">
      <c r="A341" t="n">
        <v>340</v>
      </c>
      <c r="B341" t="inlineStr">
        <is>
          <t>Shaanxi MiaoKang Medical Technology Co., Ltd.: Leading Manufacturer and Provider of Comprehensive Medical Devices and Consumables</t>
        </is>
      </c>
      <c r="C341" t="inlineStr"/>
      <c r="D341" t="inlineStr">
        <is>
          <t>Manufacturer</t>
        </is>
      </c>
      <c r="E341" t="inlineStr">
        <is>
          <t>PPE</t>
        </is>
      </c>
      <c r="F341" t="inlineStr">
        <is>
          <t>Wound Care, Lab Consumables, Syringes &amp; Needles, IV Infusion Sets, Gauze &amp; Bandages, Disinfectants, IV Cannulas, Catheters</t>
        </is>
      </c>
      <c r="G341" t="inlineStr"/>
      <c r="H341" t="inlineStr">
        <is>
          <t>https://www.medzell.net/main-categories-application/therapeutic-devices/</t>
        </is>
      </c>
      <c r="I341" t="inlineStr">
        <is>
          <t>yhl@miaokang.ltd</t>
        </is>
      </c>
      <c r="L341" t="inlineStr"/>
      <c r="M341" t="inlineStr"/>
      <c r="N341" t="inlineStr">
        <is>
          <t>TUV</t>
        </is>
      </c>
      <c r="O341" t="inlineStr">
        <is>
          <t>https://www.medzell.net/company/shaanxi-miaokang-medical-technology-co-ltd/</t>
        </is>
      </c>
      <c r="Q341" t="n">
        <v>25</v>
      </c>
      <c r="R341">
        <f>IF(Q341="","",IF(Q341&gt;=60,"HIGH",IF(Q341&gt;=30,"MEDIUM","LOW")))</f>
        <v/>
      </c>
      <c r="S341" t="inlineStr">
        <is>
          <t>New</t>
        </is>
      </c>
      <c r="T341" t="inlineStr">
        <is>
          <t>2026-03-05</t>
        </is>
      </c>
      <c r="U341" t="inlineStr">
        <is>
          <t>Seed=Medzell; Seed-file: output/medzell_company_urls.txt</t>
        </is>
      </c>
    </row>
    <row r="342">
      <c r="A342" t="n">
        <v>341</v>
      </c>
      <c r="B342" t="inlineStr">
        <is>
          <t>Shaanxi Wan'an Pharmaceutical | Innovating Women's Health with Traditional Chinese Medicine &amp; Technology</t>
        </is>
      </c>
      <c r="C342" t="inlineStr"/>
      <c r="D342" t="inlineStr">
        <is>
          <t>Manufacturer</t>
        </is>
      </c>
      <c r="E342" t="inlineStr">
        <is>
          <t>PPE</t>
        </is>
      </c>
      <c r="F342" t="inlineStr">
        <is>
          <t>Wound Care, Lab Consumables, Syringes &amp; Needles, IV Infusion Sets, Gauze &amp; Bandages, Disinfectants, IV Cannulas, Catheters</t>
        </is>
      </c>
      <c r="G342" t="inlineStr"/>
      <c r="H342" t="inlineStr">
        <is>
          <t>https://www.medzell.net/main-categories-application/therapeutic-devices/</t>
        </is>
      </c>
      <c r="I342" t="inlineStr">
        <is>
          <t>sale01@wananyaoye.com</t>
        </is>
      </c>
      <c r="L342" t="inlineStr"/>
      <c r="M342" t="inlineStr"/>
      <c r="N342" t="inlineStr">
        <is>
          <t>TUV</t>
        </is>
      </c>
      <c r="O342" t="inlineStr">
        <is>
          <t>https://www.medzell.net/company/shaanxi-wanan-pharmaceutical-co-ltd/</t>
        </is>
      </c>
      <c r="Q342" t="n">
        <v>25</v>
      </c>
      <c r="R342">
        <f>IF(Q342="","",IF(Q342&gt;=60,"HIGH",IF(Q342&gt;=30,"MEDIUM","LOW")))</f>
        <v/>
      </c>
      <c r="S342" t="inlineStr">
        <is>
          <t>New</t>
        </is>
      </c>
      <c r="T342" t="inlineStr">
        <is>
          <t>2026-03-05</t>
        </is>
      </c>
      <c r="U342" t="inlineStr">
        <is>
          <t>Seed=Medzell; Seed-file: output/medzell_company_urls.txt</t>
        </is>
      </c>
    </row>
    <row r="343">
      <c r="A343" t="n">
        <v>342</v>
      </c>
      <c r="B343" t="inlineStr">
        <is>
          <t>Leading Manufacturer of High-Quality Ophthalmic Products - Shah Eye Care Pvt. Ltd. (SEPCL)</t>
        </is>
      </c>
      <c r="C343" t="inlineStr"/>
      <c r="D343" t="inlineStr">
        <is>
          <t>Manufacturer</t>
        </is>
      </c>
      <c r="E343" t="inlineStr">
        <is>
          <t>PPE</t>
        </is>
      </c>
      <c r="F343" t="inlineStr">
        <is>
          <t>Wound Care, Lab Consumables, Syringes &amp; Needles, IV Infusion Sets, Gauze &amp; Bandages, Disinfectants, IV Cannulas, Catheters</t>
        </is>
      </c>
      <c r="G343" t="inlineStr"/>
      <c r="H343" t="inlineStr">
        <is>
          <t>https://www.medzell.net/main-categories-application/therapeutic-devices/</t>
        </is>
      </c>
      <c r="I343" t="inlineStr">
        <is>
          <t>info@shaheyecare.com</t>
        </is>
      </c>
      <c r="L343" t="inlineStr">
        <is>
          <t>Stated</t>
        </is>
      </c>
      <c r="M343" t="inlineStr"/>
      <c r="N343" t="inlineStr">
        <is>
          <t>FDA, TUV</t>
        </is>
      </c>
      <c r="O343" t="inlineStr">
        <is>
          <t>https://www.medzell.net/company/shah-eye-care-pvt-ltd-sepcl/</t>
        </is>
      </c>
      <c r="Q343" t="n">
        <v>10</v>
      </c>
      <c r="R343">
        <f>IF(Q343="","",IF(Q343&gt;=60,"HIGH",IF(Q343&gt;=30,"MEDIUM","LOW")))</f>
        <v/>
      </c>
      <c r="S343" t="inlineStr">
        <is>
          <t>New</t>
        </is>
      </c>
      <c r="T343" t="inlineStr">
        <is>
          <t>2026-03-05</t>
        </is>
      </c>
      <c r="U343" t="inlineStr">
        <is>
          <t>Seed=Medzell; Seed-file: output/medzell_company_urls.txt</t>
        </is>
      </c>
    </row>
    <row r="344">
      <c r="A344" t="n">
        <v>343</v>
      </c>
      <c r="B344" t="inlineStr">
        <is>
          <t>Shakti Orthopaedic Industries (P) Ltd.: High-Quality Orthopaedic Implants and Devices | Medzell</t>
        </is>
      </c>
      <c r="C344" t="inlineStr"/>
      <c r="D344" t="inlineStr">
        <is>
          <t>Manufacturer</t>
        </is>
      </c>
      <c r="E344" t="inlineStr">
        <is>
          <t>PPE</t>
        </is>
      </c>
      <c r="F344" t="inlineStr">
        <is>
          <t>Wound Care, Lab Consumables, Syringes &amp; Needles, IV Infusion Sets, Gauze &amp; Bandages, Disinfectants, IV Cannulas, Catheters</t>
        </is>
      </c>
      <c r="G344" t="inlineStr"/>
      <c r="H344" t="inlineStr">
        <is>
          <t>https://www.medzell.net/main-categories-application/therapeutic-devices/</t>
        </is>
      </c>
      <c r="I344" t="inlineStr">
        <is>
          <t>ishaansharma@shaktiortho.com</t>
        </is>
      </c>
      <c r="L344" t="inlineStr">
        <is>
          <t>Stated</t>
        </is>
      </c>
      <c r="M344" t="inlineStr">
        <is>
          <t>Stated</t>
        </is>
      </c>
      <c r="N344" t="inlineStr">
        <is>
          <t>TUV</t>
        </is>
      </c>
      <c r="O344" t="inlineStr">
        <is>
          <t>https://www.medzell.net/company/shakti-orthopaedic-industries-p-ltd/</t>
        </is>
      </c>
      <c r="Q344" t="n">
        <v>0</v>
      </c>
      <c r="R344">
        <f>IF(Q344="","",IF(Q344&gt;=60,"HIGH",IF(Q344&gt;=30,"MEDIUM","LOW")))</f>
        <v/>
      </c>
      <c r="S344" t="inlineStr">
        <is>
          <t>New</t>
        </is>
      </c>
      <c r="T344" t="inlineStr">
        <is>
          <t>2026-03-05</t>
        </is>
      </c>
      <c r="U344" t="inlineStr">
        <is>
          <t>Seed=Medzell; Seed-file: output/medzell_company_urls.txt</t>
        </is>
      </c>
    </row>
    <row r="345">
      <c r="A345" t="n">
        <v>344</v>
      </c>
      <c r="B345" t="inlineStr">
        <is>
          <t>Shameel Instruments – Trusted Manufacturer of Surgical, Dental &amp; Beauty Instruments</t>
        </is>
      </c>
      <c r="C345" t="inlineStr"/>
      <c r="D345" t="inlineStr">
        <is>
          <t>Manufacturer</t>
        </is>
      </c>
      <c r="E345" t="inlineStr">
        <is>
          <t>PPE</t>
        </is>
      </c>
      <c r="F345" t="inlineStr">
        <is>
          <t>Wound Care, Lab Consumables, Syringes &amp; Needles, IV Infusion Sets, Gauze &amp; Bandages, Disinfectants, IV Cannulas, Catheters</t>
        </is>
      </c>
      <c r="G345" t="inlineStr"/>
      <c r="H345" t="inlineStr">
        <is>
          <t>https://www.medzell.net/main-categories-application/therapeutic-devices/</t>
        </is>
      </c>
      <c r="I345" t="inlineStr">
        <is>
          <t>sales@shameelinstruments.com</t>
        </is>
      </c>
      <c r="L345" t="inlineStr">
        <is>
          <t>Stated</t>
        </is>
      </c>
      <c r="M345" t="inlineStr"/>
      <c r="N345" t="inlineStr">
        <is>
          <t>TUV</t>
        </is>
      </c>
      <c r="O345" t="inlineStr">
        <is>
          <t>https://www.medzell.net/company/shameel-instruments/</t>
        </is>
      </c>
      <c r="Q345" t="n">
        <v>10</v>
      </c>
      <c r="R345">
        <f>IF(Q345="","",IF(Q345&gt;=60,"HIGH",IF(Q345&gt;=30,"MEDIUM","LOW")))</f>
        <v/>
      </c>
      <c r="S345" t="inlineStr">
        <is>
          <t>New</t>
        </is>
      </c>
      <c r="T345" t="inlineStr">
        <is>
          <t>2026-03-05</t>
        </is>
      </c>
      <c r="U345" t="inlineStr">
        <is>
          <t>Seed=Medzell; Seed-file: output/medzell_company_urls.txt</t>
        </is>
      </c>
    </row>
    <row r="346">
      <c r="A346" t="n">
        <v>345</v>
      </c>
      <c r="B346" t="inlineStr">
        <is>
          <t>Shandong Haidike Medical – Manufacturer of Surgical Sutures, Masks, Orthopedic Tapes &amp; More</t>
        </is>
      </c>
      <c r="C346" t="inlineStr"/>
      <c r="D346" t="inlineStr">
        <is>
          <t>Manufacturer</t>
        </is>
      </c>
      <c r="E346" t="inlineStr">
        <is>
          <t>PPE</t>
        </is>
      </c>
      <c r="F346" t="inlineStr">
        <is>
          <t>Wound Care, Lab Consumables, Syringes &amp; Needles, IV Infusion Sets, Gauze &amp; Bandages, Disinfectants, IV Cannulas, Catheters</t>
        </is>
      </c>
      <c r="G346" t="inlineStr"/>
      <c r="H346" t="inlineStr">
        <is>
          <t>https://www.medzell.net/main-categories-application/therapeutic-devices/</t>
        </is>
      </c>
      <c r="I346" t="inlineStr">
        <is>
          <t>surgical@suturescn.com</t>
        </is>
      </c>
      <c r="L346" t="inlineStr">
        <is>
          <t>Stated</t>
        </is>
      </c>
      <c r="M346" t="inlineStr"/>
      <c r="N346" t="inlineStr">
        <is>
          <t>FDA, GMP, TUV</t>
        </is>
      </c>
      <c r="O346" t="inlineStr">
        <is>
          <t>https://www.medzell.net/company/shandong-haidike-medical-products-co-ltd/</t>
        </is>
      </c>
      <c r="Q346" t="n">
        <v>10</v>
      </c>
      <c r="R346">
        <f>IF(Q346="","",IF(Q346&gt;=60,"HIGH",IF(Q346&gt;=30,"MEDIUM","LOW")))</f>
        <v/>
      </c>
      <c r="S346" t="inlineStr">
        <is>
          <t>New</t>
        </is>
      </c>
      <c r="T346" t="inlineStr">
        <is>
          <t>2026-03-05</t>
        </is>
      </c>
      <c r="U346" t="inlineStr">
        <is>
          <t>Seed=Medzell; Seed-file: output/medzell_company_urls.txt</t>
        </is>
      </c>
    </row>
    <row r="347">
      <c r="A347" t="n">
        <v>346</v>
      </c>
      <c r="B347" t="inlineStr">
        <is>
          <t>Lumsail Industrial: Physiotherapy &amp; Aesthetics Devices Manufacturer</t>
        </is>
      </c>
      <c r="C347" t="inlineStr"/>
      <c r="D347" t="inlineStr">
        <is>
          <t>Manufacturer</t>
        </is>
      </c>
      <c r="E347" t="inlineStr">
        <is>
          <t>PPE</t>
        </is>
      </c>
      <c r="F347" t="inlineStr">
        <is>
          <t>Wound Care, Lab Consumables, Syringes &amp; Needles, IV Infusion Sets, Gauze &amp; Bandages, Disinfectants, IV Cannulas, Catheters</t>
        </is>
      </c>
      <c r="G347" t="inlineStr"/>
      <c r="H347" t="inlineStr">
        <is>
          <t>https://www.medzell.net/main-categories-application/therapeutic-devices/</t>
        </is>
      </c>
      <c r="I347" t="inlineStr">
        <is>
          <t>sales3@lumsail.com</t>
        </is>
      </c>
      <c r="L347" t="inlineStr">
        <is>
          <t>Stated</t>
        </is>
      </c>
      <c r="M347" t="inlineStr"/>
      <c r="N347" t="inlineStr">
        <is>
          <t>TUV</t>
        </is>
      </c>
      <c r="O347" t="inlineStr">
        <is>
          <t>https://www.medzell.net/company/shanghai-lumsail-industrial-inc-china/</t>
        </is>
      </c>
      <c r="Q347" t="n">
        <v>10</v>
      </c>
      <c r="R347">
        <f>IF(Q347="","",IF(Q347&gt;=60,"HIGH",IF(Q347&gt;=30,"MEDIUM","LOW")))</f>
        <v/>
      </c>
      <c r="S347" t="inlineStr">
        <is>
          <t>New</t>
        </is>
      </c>
      <c r="T347" t="inlineStr">
        <is>
          <t>2026-03-05</t>
        </is>
      </c>
      <c r="U347" t="inlineStr">
        <is>
          <t>Seed=Medzell; Seed-file: output/medzell_company_urls.txt</t>
        </is>
      </c>
    </row>
    <row r="348">
      <c r="A348" t="n">
        <v>347</v>
      </c>
      <c r="B348" t="inlineStr">
        <is>
          <t>Shanghai MedEco Industry Co., Ltd.: Leading Manufacturer Of Operating Room Solutions, Hospital Furniture &amp; Diagnostic Devices</t>
        </is>
      </c>
      <c r="C348" t="inlineStr"/>
      <c r="D348" t="inlineStr">
        <is>
          <t>Manufacturer</t>
        </is>
      </c>
      <c r="E348" t="inlineStr">
        <is>
          <t>PPE</t>
        </is>
      </c>
      <c r="F348" t="inlineStr">
        <is>
          <t>Wound Care, Lab Consumables, Syringes &amp; Needles, IV Infusion Sets, Gauze &amp; Bandages, Disinfectants, IV Cannulas, Catheters</t>
        </is>
      </c>
      <c r="G348" t="inlineStr"/>
      <c r="H348" t="inlineStr">
        <is>
          <t>https://www.medzell.net/main-categories-application/therapeutic-devices/</t>
        </is>
      </c>
      <c r="I348" t="inlineStr">
        <is>
          <t>mermaid1@medeco-medical.com</t>
        </is>
      </c>
      <c r="L348" t="inlineStr">
        <is>
          <t>Stated</t>
        </is>
      </c>
      <c r="M348" t="inlineStr">
        <is>
          <t>Stated</t>
        </is>
      </c>
      <c r="N348" t="inlineStr">
        <is>
          <t>TUV</t>
        </is>
      </c>
      <c r="O348" t="inlineStr">
        <is>
          <t>https://www.medzell.net/company/shanghai-medeco-industry-co-ltd/</t>
        </is>
      </c>
      <c r="Q348" t="n">
        <v>0</v>
      </c>
      <c r="R348">
        <f>IF(Q348="","",IF(Q348&gt;=60,"HIGH",IF(Q348&gt;=30,"MEDIUM","LOW")))</f>
        <v/>
      </c>
      <c r="S348" t="inlineStr">
        <is>
          <t>New</t>
        </is>
      </c>
      <c r="T348" t="inlineStr">
        <is>
          <t>2026-03-05</t>
        </is>
      </c>
      <c r="U348" t="inlineStr">
        <is>
          <t>Seed=Medzell; Seed-file: output/medzell_company_urls.txt</t>
        </is>
      </c>
    </row>
    <row r="349">
      <c r="A349" t="n">
        <v>348</v>
      </c>
      <c r="B349" t="inlineStr">
        <is>
          <t>Sharkclave Systems: Leading Manufacturer of Autoclave Sterilizers and Medical Devices</t>
        </is>
      </c>
      <c r="C349" t="inlineStr"/>
      <c r="D349" t="inlineStr">
        <is>
          <t>Manufacturer</t>
        </is>
      </c>
      <c r="E349" t="inlineStr">
        <is>
          <t>PPE</t>
        </is>
      </c>
      <c r="F349" t="inlineStr">
        <is>
          <t>Wound Care, Lab Consumables, Syringes &amp; Needles, IV Infusion Sets, Gauze &amp; Bandages, Disinfectants, IV Cannulas, Catheters</t>
        </is>
      </c>
      <c r="G349" t="inlineStr"/>
      <c r="H349" t="inlineStr">
        <is>
          <t>https://www.medzell.net/main-categories-application/therapeutic-devices/</t>
        </is>
      </c>
      <c r="I349" t="inlineStr">
        <is>
          <t>sharkclavesystems@gmail.com</t>
        </is>
      </c>
      <c r="L349" t="inlineStr">
        <is>
          <t>Stated</t>
        </is>
      </c>
      <c r="M349" t="inlineStr"/>
      <c r="N349" t="inlineStr">
        <is>
          <t>TUV</t>
        </is>
      </c>
      <c r="O349" t="inlineStr">
        <is>
          <t>https://www.medzell.net/company/sharkclave-systems/</t>
        </is>
      </c>
      <c r="Q349" t="n">
        <v>30</v>
      </c>
      <c r="R349">
        <f>IF(Q349="","",IF(Q349&gt;=60,"HIGH",IF(Q349&gt;=30,"MEDIUM","LOW")))</f>
        <v/>
      </c>
      <c r="S349" t="inlineStr">
        <is>
          <t>New</t>
        </is>
      </c>
      <c r="T349" t="inlineStr">
        <is>
          <t>2026-03-05</t>
        </is>
      </c>
      <c r="U349" t="inlineStr">
        <is>
          <t>Seed=Medzell; Seed-file: output/medzell_company_urls.txt</t>
        </is>
      </c>
    </row>
    <row r="350">
      <c r="A350" t="n">
        <v>349</v>
      </c>
      <c r="B350" t="inlineStr">
        <is>
          <t>Shenzhen JunYuan Medical – Leading Innovator in Airway Management &amp; Endoscopy Solutions</t>
        </is>
      </c>
      <c r="C350" t="inlineStr"/>
      <c r="D350" t="inlineStr">
        <is>
          <t>Manufacturer</t>
        </is>
      </c>
      <c r="E350" t="inlineStr">
        <is>
          <t>PPE</t>
        </is>
      </c>
      <c r="F350" t="inlineStr">
        <is>
          <t>Wound Care, Lab Consumables, Syringes &amp; Needles, IV Infusion Sets, Catheters, Gauze &amp; Bandages, Disinfectants, IV Cannulas</t>
        </is>
      </c>
      <c r="G350" t="inlineStr"/>
      <c r="H350" t="inlineStr">
        <is>
          <t>https://www.medzell.net/main-categories-application/therapeutic-devices/</t>
        </is>
      </c>
      <c r="I350" t="inlineStr">
        <is>
          <t>logan@junyuan-medical.com</t>
        </is>
      </c>
      <c r="L350" t="inlineStr">
        <is>
          <t>Stated</t>
        </is>
      </c>
      <c r="M350" t="inlineStr"/>
      <c r="N350" t="inlineStr">
        <is>
          <t>FDA, TUV</t>
        </is>
      </c>
      <c r="O350" t="inlineStr">
        <is>
          <t>https://www.medzell.net/company/shenzhen-junyuan-medical-equipment-co-ltd/</t>
        </is>
      </c>
      <c r="Q350" t="n">
        <v>10</v>
      </c>
      <c r="R350">
        <f>IF(Q350="","",IF(Q350&gt;=60,"HIGH",IF(Q350&gt;=30,"MEDIUM","LOW")))</f>
        <v/>
      </c>
      <c r="S350" t="inlineStr">
        <is>
          <t>New</t>
        </is>
      </c>
      <c r="T350" t="inlineStr">
        <is>
          <t>2026-03-05</t>
        </is>
      </c>
      <c r="U350" t="inlineStr">
        <is>
          <t>Seed=Medzell; Seed-file: output/medzell_company_urls.txt</t>
        </is>
      </c>
    </row>
    <row r="351">
      <c r="A351" t="n">
        <v>350</v>
      </c>
      <c r="B351" t="inlineStr">
        <is>
          <t>Shira MedTech: Revolutionizing Healthcare Accessibility and Affordability</t>
        </is>
      </c>
      <c r="C351" t="inlineStr"/>
      <c r="D351" t="inlineStr">
        <is>
          <t>Manufacturer</t>
        </is>
      </c>
      <c r="E351" t="inlineStr">
        <is>
          <t>PPE</t>
        </is>
      </c>
      <c r="F351" t="inlineStr">
        <is>
          <t>Wound Care, Lab Consumables, Syringes &amp; Needles, IV Infusion Sets, Gauze &amp; Bandages, Disinfectants, IV Cannulas, Catheters</t>
        </is>
      </c>
      <c r="G351" t="inlineStr"/>
      <c r="H351" t="inlineStr">
        <is>
          <t>https://www.medzell.net/main-categories-application/therapeutic-devices/</t>
        </is>
      </c>
      <c r="I351" t="inlineStr">
        <is>
          <t>anand@shiramedtech.com</t>
        </is>
      </c>
      <c r="L351" t="inlineStr">
        <is>
          <t>Stated</t>
        </is>
      </c>
      <c r="M351" t="inlineStr"/>
      <c r="N351" t="inlineStr">
        <is>
          <t>TUV</t>
        </is>
      </c>
      <c r="O351" t="inlineStr">
        <is>
          <t>https://www.medzell.net/company/shira-medtech-private-limited/</t>
        </is>
      </c>
      <c r="Q351" t="n">
        <v>10</v>
      </c>
      <c r="R351">
        <f>IF(Q351="","",IF(Q351&gt;=60,"HIGH",IF(Q351&gt;=30,"MEDIUM","LOW")))</f>
        <v/>
      </c>
      <c r="S351" t="inlineStr">
        <is>
          <t>New</t>
        </is>
      </c>
      <c r="T351" t="inlineStr">
        <is>
          <t>2026-03-05</t>
        </is>
      </c>
      <c r="U351" t="inlineStr">
        <is>
          <t>Seed=Medzell; Seed-file: output/medzell_company_urls.txt</t>
        </is>
      </c>
    </row>
    <row r="352">
      <c r="A352" t="n">
        <v>351</v>
      </c>
      <c r="B352" t="inlineStr">
        <is>
          <t>Shreeyash Electro Medicals: Leading Manufacturer of Life-Saving Ventilation Products</t>
        </is>
      </c>
      <c r="C352" t="inlineStr"/>
      <c r="D352" t="inlineStr">
        <is>
          <t>Manufacturer</t>
        </is>
      </c>
      <c r="E352" t="inlineStr">
        <is>
          <t>PPE</t>
        </is>
      </c>
      <c r="F352" t="inlineStr">
        <is>
          <t>Wound Care, Lab Consumables, Syringes &amp; Needles, IV Infusion Sets, Gauze &amp; Bandages, Disinfectants, IV Cannulas, Catheters</t>
        </is>
      </c>
      <c r="G352" t="inlineStr"/>
      <c r="H352" t="inlineStr">
        <is>
          <t>https://www.medzell.net/main-categories-application/therapeutic-devices/</t>
        </is>
      </c>
      <c r="I352" t="inlineStr">
        <is>
          <t>dragonfly.sudhir@gmail.com</t>
        </is>
      </c>
      <c r="L352" t="inlineStr"/>
      <c r="M352" t="inlineStr"/>
      <c r="N352" t="inlineStr">
        <is>
          <t>TUV</t>
        </is>
      </c>
      <c r="O352" t="inlineStr">
        <is>
          <t>https://www.medzell.net/company/shreeyash-electro-medicals/</t>
        </is>
      </c>
      <c r="Q352" t="n">
        <v>45</v>
      </c>
      <c r="R352">
        <f>IF(Q352="","",IF(Q352&gt;=60,"HIGH",IF(Q352&gt;=30,"MEDIUM","LOW")))</f>
        <v/>
      </c>
      <c r="S352" t="inlineStr">
        <is>
          <t>New</t>
        </is>
      </c>
      <c r="T352" t="inlineStr">
        <is>
          <t>2026-03-05</t>
        </is>
      </c>
      <c r="U352" t="inlineStr">
        <is>
          <t>Seed=Medzell; Seed-file: output/medzell_company_urls.txt</t>
        </is>
      </c>
    </row>
    <row r="353">
      <c r="A353" t="n">
        <v>352</v>
      </c>
      <c r="B353" t="inlineStr">
        <is>
          <t>Shubham Pharmaceuticals: Leading Manufacturer of Medical Consumables | ISO 9001 Certified</t>
        </is>
      </c>
      <c r="C353" t="inlineStr"/>
      <c r="D353" t="inlineStr">
        <is>
          <t>Manufacturer</t>
        </is>
      </c>
      <c r="E353" t="inlineStr">
        <is>
          <t>PPE</t>
        </is>
      </c>
      <c r="F353" t="inlineStr">
        <is>
          <t>Gauze &amp; Bandages, Wound Care, Lab Consumables, Syringes &amp; Needles, IV Infusion Sets, Disinfectants, IV Cannulas, Catheters</t>
        </is>
      </c>
      <c r="G353" t="inlineStr"/>
      <c r="H353" t="inlineStr">
        <is>
          <t>https://www.medzell.net/main-categories-application/therapeutic-devices/</t>
        </is>
      </c>
      <c r="I353" t="inlineStr">
        <is>
          <t>shubhampharmasurgidv@rediffmail.com</t>
        </is>
      </c>
      <c r="L353" t="inlineStr"/>
      <c r="M353" t="inlineStr"/>
      <c r="N353" t="inlineStr">
        <is>
          <t>TUV</t>
        </is>
      </c>
      <c r="O353" t="inlineStr">
        <is>
          <t>https://www.medzell.net/company/shubham-pharmaceuticals/</t>
        </is>
      </c>
      <c r="Q353" t="n">
        <v>25</v>
      </c>
      <c r="R353">
        <f>IF(Q353="","",IF(Q353&gt;=60,"HIGH",IF(Q353&gt;=30,"MEDIUM","LOW")))</f>
        <v/>
      </c>
      <c r="S353" t="inlineStr">
        <is>
          <t>New</t>
        </is>
      </c>
      <c r="T353" t="inlineStr">
        <is>
          <t>2026-03-05</t>
        </is>
      </c>
      <c r="U353" t="inlineStr">
        <is>
          <t>Seed=Medzell; Seed-file: output/medzell_company_urls.txt</t>
        </is>
      </c>
    </row>
    <row r="354">
      <c r="A354" t="n">
        <v>353</v>
      </c>
      <c r="B354" t="inlineStr">
        <is>
          <t>Shubhang Products Co.: Your Friendly Destination for Superior Medical Swabs and Cotton</t>
        </is>
      </c>
      <c r="C354" t="inlineStr"/>
      <c r="D354" t="inlineStr">
        <is>
          <t>Manufacturer</t>
        </is>
      </c>
      <c r="E354" t="inlineStr">
        <is>
          <t>PPE</t>
        </is>
      </c>
      <c r="F354" t="inlineStr">
        <is>
          <t>Wound Care, Lab Consumables, Syringes &amp; Needles, IV Infusion Sets, Gauze &amp; Bandages, Disinfectants, IV Cannulas, Catheters</t>
        </is>
      </c>
      <c r="G354" t="inlineStr"/>
      <c r="H354" t="inlineStr">
        <is>
          <t>https://www.medzell.net/main-categories-application/therapeutic-devices/</t>
        </is>
      </c>
      <c r="I354" t="inlineStr">
        <is>
          <t>business@shubhangproducts.com</t>
        </is>
      </c>
      <c r="L354" t="inlineStr"/>
      <c r="M354" t="inlineStr"/>
      <c r="N354" t="inlineStr">
        <is>
          <t>GMP, TUV</t>
        </is>
      </c>
      <c r="O354" t="inlineStr">
        <is>
          <t>https://www.medzell.net/company/shubhang-products-co/</t>
        </is>
      </c>
      <c r="Q354" t="n">
        <v>25</v>
      </c>
      <c r="R354">
        <f>IF(Q354="","",IF(Q354&gt;=60,"HIGH",IF(Q354&gt;=30,"MEDIUM","LOW")))</f>
        <v/>
      </c>
      <c r="S354" t="inlineStr">
        <is>
          <t>New</t>
        </is>
      </c>
      <c r="T354" t="inlineStr">
        <is>
          <t>2026-03-05</t>
        </is>
      </c>
      <c r="U354" t="inlineStr">
        <is>
          <t>Seed=Medzell; Seed-file: output/medzell_company_urls.txt</t>
        </is>
      </c>
    </row>
    <row r="355">
      <c r="A355" t="n">
        <v>354</v>
      </c>
      <c r="B355" t="inlineStr">
        <is>
          <t>Leading Manufacturer of Technologically Advanced Medical Devices - Silverline Meditech Pvt. Ltd.</t>
        </is>
      </c>
      <c r="C355" t="inlineStr"/>
      <c r="D355" t="inlineStr">
        <is>
          <t>Manufacturer</t>
        </is>
      </c>
      <c r="E355" t="inlineStr">
        <is>
          <t>PPE</t>
        </is>
      </c>
      <c r="F355" t="inlineStr">
        <is>
          <t>Wound Care, Lab Consumables, Syringes &amp; Needles, IV Infusion Sets, Gauze &amp; Bandages, Disinfectants, IV Cannulas, Catheters</t>
        </is>
      </c>
      <c r="G355" t="inlineStr"/>
      <c r="H355" t="inlineStr">
        <is>
          <t>https://www.medzell.net/main-categories-application/therapeutic-devices/</t>
        </is>
      </c>
      <c r="I355" t="inlineStr">
        <is>
          <t>johnson@silverlinemeditech.com</t>
        </is>
      </c>
      <c r="L355" t="inlineStr"/>
      <c r="M355" t="inlineStr">
        <is>
          <t>Stated</t>
        </is>
      </c>
      <c r="N355" t="inlineStr">
        <is>
          <t>TUV</t>
        </is>
      </c>
      <c r="O355" t="inlineStr">
        <is>
          <t>https://www.medzell.net/company/silverline-meditech-pvt-ltd/</t>
        </is>
      </c>
      <c r="Q355" t="n">
        <v>15</v>
      </c>
      <c r="R355">
        <f>IF(Q355="","",IF(Q355&gt;=60,"HIGH",IF(Q355&gt;=30,"MEDIUM","LOW")))</f>
        <v/>
      </c>
      <c r="S355" t="inlineStr">
        <is>
          <t>New</t>
        </is>
      </c>
      <c r="T355" t="inlineStr">
        <is>
          <t>2026-03-05</t>
        </is>
      </c>
      <c r="U355" t="inlineStr">
        <is>
          <t>Seed=Medzell; Seed-file: output/medzell_company_urls.txt</t>
        </is>
      </c>
    </row>
    <row r="356">
      <c r="A356" t="n">
        <v>355</v>
      </c>
      <c r="B356" t="inlineStr">
        <is>
          <t>Empower Medical Progress with Simtek's Syringe &amp; Infusion Pumps, Fetal Monitors</t>
        </is>
      </c>
      <c r="C356" t="inlineStr"/>
      <c r="D356" t="inlineStr">
        <is>
          <t>Manufacturer</t>
        </is>
      </c>
      <c r="E356" t="inlineStr">
        <is>
          <t>PPE</t>
        </is>
      </c>
      <c r="F356" t="inlineStr">
        <is>
          <t>Wound Care, Lab Consumables, Syringes &amp; Needles, IV Infusion Sets, Gauze &amp; Bandages, Disinfectants, IV Cannulas, Catheters</t>
        </is>
      </c>
      <c r="G356" t="inlineStr"/>
      <c r="H356" t="inlineStr">
        <is>
          <t>https://www.medzell.net/main-categories-application/therapeutic-devices/</t>
        </is>
      </c>
      <c r="I356" t="inlineStr">
        <is>
          <t>simtekmedicosystem@gmail.com</t>
        </is>
      </c>
      <c r="L356" t="inlineStr"/>
      <c r="M356" t="inlineStr"/>
      <c r="N356" t="inlineStr">
        <is>
          <t>TUV</t>
        </is>
      </c>
      <c r="O356" t="inlineStr">
        <is>
          <t>https://www.medzell.net/company/simtek-medico-systems-pvt-ltd/</t>
        </is>
      </c>
      <c r="Q356" t="n">
        <v>45</v>
      </c>
      <c r="R356">
        <f>IF(Q356="","",IF(Q356&gt;=60,"HIGH",IF(Q356&gt;=30,"MEDIUM","LOW")))</f>
        <v/>
      </c>
      <c r="S356" t="inlineStr">
        <is>
          <t>New</t>
        </is>
      </c>
      <c r="T356" t="inlineStr">
        <is>
          <t>2026-03-05</t>
        </is>
      </c>
      <c r="U356" t="inlineStr">
        <is>
          <t>Seed=Medzell; Seed-file: output/medzell_company_urls.txt</t>
        </is>
      </c>
    </row>
    <row r="357">
      <c r="A357" t="n">
        <v>356</v>
      </c>
      <c r="B357" t="inlineStr">
        <is>
          <t>Sivshree Medittex (India) Pvt. Ltd. - Manufacturer of Nonwoven Medical Disposables | MEDIPRRO       Ask ChatGPT</t>
        </is>
      </c>
      <c r="C357" t="inlineStr"/>
      <c r="D357" t="inlineStr">
        <is>
          <t>Manufacturer</t>
        </is>
      </c>
      <c r="E357" t="inlineStr">
        <is>
          <t>PPE</t>
        </is>
      </c>
      <c r="F357" t="inlineStr">
        <is>
          <t>Wound Care, Lab Consumables, Syringes &amp; Needles, IV Infusion Sets, Gauze &amp; Bandages, Disinfectants, IV Cannulas, Catheters</t>
        </is>
      </c>
      <c r="G357" t="inlineStr"/>
      <c r="H357" t="inlineStr">
        <is>
          <t>https://www.medzell.net/main-categories-application/therapeutic-devices/</t>
        </is>
      </c>
      <c r="I357" t="inlineStr">
        <is>
          <t>mediprro@gmail.com</t>
        </is>
      </c>
      <c r="L357" t="inlineStr">
        <is>
          <t>Stated</t>
        </is>
      </c>
      <c r="M357" t="inlineStr">
        <is>
          <t>Stated</t>
        </is>
      </c>
      <c r="N357" t="inlineStr">
        <is>
          <t>FDA, GMP, TUV</t>
        </is>
      </c>
      <c r="O357" t="inlineStr">
        <is>
          <t>https://www.medzell.net/company/sivshree-medittex-india-pvt-ltd/</t>
        </is>
      </c>
      <c r="Q357" t="n">
        <v>20</v>
      </c>
      <c r="R357">
        <f>IF(Q357="","",IF(Q357&gt;=60,"HIGH",IF(Q357&gt;=30,"MEDIUM","LOW")))</f>
        <v/>
      </c>
      <c r="S357" t="inlineStr">
        <is>
          <t>New</t>
        </is>
      </c>
      <c r="T357" t="inlineStr">
        <is>
          <t>2026-03-05</t>
        </is>
      </c>
      <c r="U357" t="inlineStr">
        <is>
          <t>Seed=Medzell; Seed-file: output/medzell_company_urls.txt</t>
        </is>
      </c>
    </row>
    <row r="358">
      <c r="A358" t="n">
        <v>357</v>
      </c>
      <c r="B358" t="inlineStr">
        <is>
          <t>SMB Corporation of India | Global Leader in IUDs and Medical Devices</t>
        </is>
      </c>
      <c r="C358" t="inlineStr"/>
      <c r="D358" t="inlineStr">
        <is>
          <t>Manufacturer</t>
        </is>
      </c>
      <c r="E358" t="inlineStr">
        <is>
          <t>PPE</t>
        </is>
      </c>
      <c r="F358" t="inlineStr">
        <is>
          <t>Wound Care, Syringes &amp; Needles, Lab Consumables, IV Infusion Sets, Gauze &amp; Bandages, Disinfectants, IV Cannulas, Catheters</t>
        </is>
      </c>
      <c r="G358" t="inlineStr"/>
      <c r="H358" t="inlineStr">
        <is>
          <t>https://www.medzell.net/main-categories-application/therapeutic-devices/</t>
        </is>
      </c>
      <c r="I358" t="inlineStr">
        <is>
          <t>rasesh@smbcorpn.com</t>
        </is>
      </c>
      <c r="L358" t="inlineStr">
        <is>
          <t>Stated</t>
        </is>
      </c>
      <c r="M358" t="inlineStr">
        <is>
          <t>Stated</t>
        </is>
      </c>
      <c r="N358" t="inlineStr">
        <is>
          <t>FDA, GMP, TUV</t>
        </is>
      </c>
      <c r="O358" t="inlineStr">
        <is>
          <t>https://www.medzell.net/company/smb-corporation-of-india/</t>
        </is>
      </c>
      <c r="Q358" t="n">
        <v>0</v>
      </c>
      <c r="R358">
        <f>IF(Q358="","",IF(Q358&gt;=60,"HIGH",IF(Q358&gt;=30,"MEDIUM","LOW")))</f>
        <v/>
      </c>
      <c r="S358" t="inlineStr">
        <is>
          <t>New</t>
        </is>
      </c>
      <c r="T358" t="inlineStr">
        <is>
          <t>2026-03-05</t>
        </is>
      </c>
      <c r="U358" t="inlineStr">
        <is>
          <t>Seed=Medzell; Seed-file: output/medzell_company_urls.txt</t>
        </is>
      </c>
    </row>
    <row r="359">
      <c r="A359" t="n">
        <v>358</v>
      </c>
      <c r="B359" t="inlineStr">
        <is>
          <t>Sois Healthcare: Leading Manufacturer and Global Supplier of Dialysis Kits, Surgical Dressing Kits, and Disposable Bed Sheets in India</t>
        </is>
      </c>
      <c r="C359" t="inlineStr"/>
      <c r="D359" t="inlineStr">
        <is>
          <t>Manufacturer</t>
        </is>
      </c>
      <c r="E359" t="inlineStr">
        <is>
          <t>PPE</t>
        </is>
      </c>
      <c r="F359" t="inlineStr">
        <is>
          <t>Wound Care, Lab Consumables, Syringes &amp; Needles, IV Infusion Sets, Gauze &amp; Bandages, Disinfectants, IV Cannulas, Catheters</t>
        </is>
      </c>
      <c r="G359" t="inlineStr"/>
      <c r="H359" t="inlineStr">
        <is>
          <t>https://www.medzell.net/main-categories-application/therapeutic-devices/</t>
        </is>
      </c>
      <c r="I359" t="inlineStr">
        <is>
          <t>soishealthcare@gmail.com</t>
        </is>
      </c>
      <c r="L359" t="inlineStr"/>
      <c r="M359" t="inlineStr"/>
      <c r="N359" t="inlineStr">
        <is>
          <t>TUV</t>
        </is>
      </c>
      <c r="O359" t="inlineStr">
        <is>
          <t>https://www.medzell.net/company/sois-healthcare/</t>
        </is>
      </c>
      <c r="Q359" t="n">
        <v>45</v>
      </c>
      <c r="R359">
        <f>IF(Q359="","",IF(Q359&gt;=60,"HIGH",IF(Q359&gt;=30,"MEDIUM","LOW")))</f>
        <v/>
      </c>
      <c r="S359" t="inlineStr">
        <is>
          <t>New</t>
        </is>
      </c>
      <c r="T359" t="inlineStr">
        <is>
          <t>2026-03-05</t>
        </is>
      </c>
      <c r="U359" t="inlineStr">
        <is>
          <t>Seed=Medzell; Seed-file: output/medzell_company_urls.txt</t>
        </is>
      </c>
    </row>
    <row r="360">
      <c r="A360" t="n">
        <v>359</v>
      </c>
      <c r="B360" t="inlineStr">
        <is>
          <t>Premium Surgical Equipment Manufacturer &amp; Exporter - Spark Meditech Pvt. Ltd.</t>
        </is>
      </c>
      <c r="C360" t="inlineStr"/>
      <c r="D360" t="inlineStr">
        <is>
          <t>Manufacturer</t>
        </is>
      </c>
      <c r="E360" t="inlineStr">
        <is>
          <t>PPE</t>
        </is>
      </c>
      <c r="F360" t="inlineStr">
        <is>
          <t>Wound Care, Lab Consumables, Syringes &amp; Needles, IV Infusion Sets, Gauze &amp; Bandages, Disinfectants, IV Cannulas, Catheters</t>
        </is>
      </c>
      <c r="G360" t="inlineStr"/>
      <c r="H360" t="inlineStr">
        <is>
          <t>https://www.medzell.net/main-categories-application/therapeutic-devices/</t>
        </is>
      </c>
      <c r="I360" t="inlineStr">
        <is>
          <t>sparkmeditech@gmail.com</t>
        </is>
      </c>
      <c r="L360" t="inlineStr">
        <is>
          <t>Stated</t>
        </is>
      </c>
      <c r="M360" t="inlineStr"/>
      <c r="N360" t="inlineStr">
        <is>
          <t>TUV</t>
        </is>
      </c>
      <c r="O360" t="inlineStr">
        <is>
          <t>https://www.medzell.net/company/spark-meditech-pvt-ltd/</t>
        </is>
      </c>
      <c r="Q360" t="n">
        <v>30</v>
      </c>
      <c r="R360">
        <f>IF(Q360="","",IF(Q360&gt;=60,"HIGH",IF(Q360&gt;=30,"MEDIUM","LOW")))</f>
        <v/>
      </c>
      <c r="S360" t="inlineStr">
        <is>
          <t>New</t>
        </is>
      </c>
      <c r="T360" t="inlineStr">
        <is>
          <t>2026-03-05</t>
        </is>
      </c>
      <c r="U360" t="inlineStr">
        <is>
          <t>Seed=Medzell; Seed-file: output/medzell_company_urls.txt</t>
        </is>
      </c>
    </row>
    <row r="361">
      <c r="A361" t="n">
        <v>360</v>
      </c>
      <c r="B361" t="inlineStr">
        <is>
          <t>Sri Mathurams Medical Engineering: Leading Supplier of Hospital Furniture and Medical Equipment</t>
        </is>
      </c>
      <c r="C361" t="inlineStr"/>
      <c r="D361" t="inlineStr">
        <is>
          <t>Manufacturer</t>
        </is>
      </c>
      <c r="E361" t="inlineStr">
        <is>
          <t>PPE</t>
        </is>
      </c>
      <c r="F361" t="inlineStr">
        <is>
          <t>Wound Care, Lab Consumables, Syringes &amp; Needles, IV Infusion Sets, Gauze &amp; Bandages, Disinfectants, IV Cannulas, Catheters</t>
        </is>
      </c>
      <c r="G361" t="inlineStr"/>
      <c r="H361" t="inlineStr">
        <is>
          <t>https://www.medzell.net/main-categories-application/therapeutic-devices/</t>
        </is>
      </c>
      <c r="I361" t="inlineStr">
        <is>
          <t>mathuramkovai@gmail.com</t>
        </is>
      </c>
      <c r="L361" t="inlineStr"/>
      <c r="M361" t="inlineStr"/>
      <c r="N361" t="inlineStr">
        <is>
          <t>TUV</t>
        </is>
      </c>
      <c r="O361" t="inlineStr">
        <is>
          <t>https://www.medzell.net/company/sri-mathurams-medical-engineering/</t>
        </is>
      </c>
      <c r="Q361" t="n">
        <v>45</v>
      </c>
      <c r="R361">
        <f>IF(Q361="","",IF(Q361&gt;=60,"HIGH",IF(Q361&gt;=30,"MEDIUM","LOW")))</f>
        <v/>
      </c>
      <c r="S361" t="inlineStr">
        <is>
          <t>New</t>
        </is>
      </c>
      <c r="T361" t="inlineStr">
        <is>
          <t>2026-03-05</t>
        </is>
      </c>
      <c r="U361" t="inlineStr">
        <is>
          <t>Seed=Medzell; Seed-file: output/medzell_company_urls.txt</t>
        </is>
      </c>
    </row>
    <row r="362">
      <c r="A362" t="n">
        <v>361</v>
      </c>
      <c r="B362" t="inlineStr">
        <is>
          <t>SS Medical Systems (I) Pvt. Ltd. | 85 Years of Medical Device Excellence in India</t>
        </is>
      </c>
      <c r="C362" t="inlineStr"/>
      <c r="D362" t="inlineStr">
        <is>
          <t>Manufacturer</t>
        </is>
      </c>
      <c r="E362" t="inlineStr">
        <is>
          <t>PPE</t>
        </is>
      </c>
      <c r="F362" t="inlineStr">
        <is>
          <t>Wound Care, Lab Consumables, Syringes &amp; Needles, IV Infusion Sets, Gauze &amp; Bandages, Disinfectants, IV Cannulas, Catheters</t>
        </is>
      </c>
      <c r="G362" t="inlineStr"/>
      <c r="H362" t="inlineStr">
        <is>
          <t>https://www.medzell.net/main-categories-application/therapeutic-devices/</t>
        </is>
      </c>
      <c r="I362" t="inlineStr">
        <is>
          <t>coregroup@ssmedworld.com</t>
        </is>
      </c>
      <c r="L362" t="inlineStr"/>
      <c r="M362" t="inlineStr"/>
      <c r="N362" t="inlineStr">
        <is>
          <t>TUV</t>
        </is>
      </c>
      <c r="O362" t="inlineStr">
        <is>
          <t>https://www.medzell.net/company/ss-medical-systems-india-pvt-ltd/</t>
        </is>
      </c>
      <c r="Q362" t="n">
        <v>25</v>
      </c>
      <c r="R362">
        <f>IF(Q362="","",IF(Q362&gt;=60,"HIGH",IF(Q362&gt;=30,"MEDIUM","LOW")))</f>
        <v/>
      </c>
      <c r="S362" t="inlineStr">
        <is>
          <t>New</t>
        </is>
      </c>
      <c r="T362" t="inlineStr">
        <is>
          <t>2026-03-05</t>
        </is>
      </c>
      <c r="U362" t="inlineStr">
        <is>
          <t>Seed=Medzell; Seed-file: output/medzell_company_urls.txt</t>
        </is>
      </c>
    </row>
    <row r="363">
      <c r="A363" t="n">
        <v>362</v>
      </c>
      <c r="B363" t="inlineStr">
        <is>
          <t>St. Johns First Aid: Your Premier Destination for Healthcare Products and Innovative First Aid Kits</t>
        </is>
      </c>
      <c r="C363" t="inlineStr"/>
      <c r="D363" t="inlineStr">
        <is>
          <t>Manufacturer</t>
        </is>
      </c>
      <c r="E363" t="inlineStr">
        <is>
          <t>PPE</t>
        </is>
      </c>
      <c r="F363" t="inlineStr">
        <is>
          <t>Wound Care, Lab Consumables, Syringes &amp; Needles, IV Infusion Sets, Gauze &amp; Bandages, Disinfectants, IV Cannulas, Catheters</t>
        </is>
      </c>
      <c r="G363" t="inlineStr"/>
      <c r="H363" t="inlineStr">
        <is>
          <t>https://www.medzell.net/main-categories-application/therapeutic-devices/</t>
        </is>
      </c>
      <c r="I363" t="inlineStr">
        <is>
          <t>murali@stjohnsfirstaid.net</t>
        </is>
      </c>
      <c r="L363" t="inlineStr">
        <is>
          <t>Stated</t>
        </is>
      </c>
      <c r="M363" t="inlineStr"/>
      <c r="N363" t="inlineStr">
        <is>
          <t>TUV</t>
        </is>
      </c>
      <c r="O363" t="inlineStr">
        <is>
          <t>https://www.medzell.net/company/st-johns-first-aid-kits-pvt-ltd/</t>
        </is>
      </c>
      <c r="Q363" t="n">
        <v>10</v>
      </c>
      <c r="R363">
        <f>IF(Q363="","",IF(Q363&gt;=60,"HIGH",IF(Q363&gt;=30,"MEDIUM","LOW")))</f>
        <v/>
      </c>
      <c r="S363" t="inlineStr">
        <is>
          <t>New</t>
        </is>
      </c>
      <c r="T363" t="inlineStr">
        <is>
          <t>2026-03-05</t>
        </is>
      </c>
      <c r="U363" t="inlineStr">
        <is>
          <t>Seed=Medzell; Seed-file: output/medzell_company_urls.txt</t>
        </is>
      </c>
    </row>
    <row r="364">
      <c r="A364" t="n">
        <v>363</v>
      </c>
      <c r="B364" t="inlineStr">
        <is>
          <t>Discover Premium Latex Medical Gloves</t>
        </is>
      </c>
      <c r="C364" t="inlineStr"/>
      <c r="D364" t="inlineStr">
        <is>
          <t>Manufacturer</t>
        </is>
      </c>
      <c r="E364" t="inlineStr">
        <is>
          <t>PPE</t>
        </is>
      </c>
      <c r="F364" t="inlineStr">
        <is>
          <t>Wound Care, Gloves, Lab Consumables, Syringes &amp; Needles, IV Infusion Sets, Gauze &amp; Bandages, Disinfectants, IV Cannulas, Catheters</t>
        </is>
      </c>
      <c r="G364" t="inlineStr"/>
      <c r="H364" t="inlineStr">
        <is>
          <t>https://www.medzell.net/main-categories-application/therapeutic-devices/</t>
        </is>
      </c>
      <c r="I364" t="inlineStr">
        <is>
          <t>don@stmarysrubbers.com</t>
        </is>
      </c>
      <c r="L364" t="inlineStr">
        <is>
          <t>Stated</t>
        </is>
      </c>
      <c r="M364" t="inlineStr"/>
      <c r="N364" t="inlineStr">
        <is>
          <t>FDA, TUV</t>
        </is>
      </c>
      <c r="O364" t="inlineStr">
        <is>
          <t>https://www.medzell.net/company/st-marys-rubbers-pvt-ltd/</t>
        </is>
      </c>
      <c r="Q364" t="n">
        <v>10</v>
      </c>
      <c r="R364">
        <f>IF(Q364="","",IF(Q364&gt;=60,"HIGH",IF(Q364&gt;=30,"MEDIUM","LOW")))</f>
        <v/>
      </c>
      <c r="S364" t="inlineStr">
        <is>
          <t>New</t>
        </is>
      </c>
      <c r="T364" t="inlineStr">
        <is>
          <t>2026-03-05</t>
        </is>
      </c>
      <c r="U364" t="inlineStr">
        <is>
          <t>Seed=Medzell; Seed-file: output/medzell_company_urls.txt</t>
        </is>
      </c>
    </row>
    <row r="365">
      <c r="A365" t="n">
        <v>364</v>
      </c>
      <c r="B365" t="inlineStr">
        <is>
          <t>Trusted Supplier of High-Quality Medical Devices - St. Stone Medical Devices Private Limited</t>
        </is>
      </c>
      <c r="C365" t="inlineStr"/>
      <c r="D365" t="inlineStr">
        <is>
          <t>Manufacturer</t>
        </is>
      </c>
      <c r="E365" t="inlineStr">
        <is>
          <t>PPE</t>
        </is>
      </c>
      <c r="F365" t="inlineStr">
        <is>
          <t>Wound Care, Lab Consumables, Syringes &amp; Needles, IV Infusion Sets, Catheters, Gauze &amp; Bandages, Disinfectants, IV Cannulas</t>
        </is>
      </c>
      <c r="G365" t="inlineStr"/>
      <c r="H365" t="inlineStr">
        <is>
          <t>https://www.medzell.net/main-categories-application/therapeutic-devices/</t>
        </is>
      </c>
      <c r="I365" t="inlineStr">
        <is>
          <t>info@stsmedicals.com</t>
        </is>
      </c>
      <c r="L365" t="inlineStr">
        <is>
          <t>Stated</t>
        </is>
      </c>
      <c r="M365" t="inlineStr"/>
      <c r="N365" t="inlineStr">
        <is>
          <t>GMP, TUV</t>
        </is>
      </c>
      <c r="O365" t="inlineStr">
        <is>
          <t>https://www.medzell.net/company/st-stone-medical-devices-pvt-ltd/</t>
        </is>
      </c>
      <c r="Q365" t="n">
        <v>10</v>
      </c>
      <c r="R365">
        <f>IF(Q365="","",IF(Q365&gt;=60,"HIGH",IF(Q365&gt;=30,"MEDIUM","LOW")))</f>
        <v/>
      </c>
      <c r="S365" t="inlineStr">
        <is>
          <t>New</t>
        </is>
      </c>
      <c r="T365" t="inlineStr">
        <is>
          <t>2026-03-05</t>
        </is>
      </c>
      <c r="U365" t="inlineStr">
        <is>
          <t>Seed=Medzell; Seed-file: output/medzell_company_urls.txt</t>
        </is>
      </c>
    </row>
    <row r="366">
      <c r="A366" t="n">
        <v>365</v>
      </c>
      <c r="B366" t="inlineStr">
        <is>
          <t>STAAN Bio-Med: Trusted Manufacturer of Surgical Instruments and Critical Care Devices</t>
        </is>
      </c>
      <c r="C366" t="inlineStr"/>
      <c r="D366" t="inlineStr">
        <is>
          <t>Manufacturer</t>
        </is>
      </c>
      <c r="E366" t="inlineStr">
        <is>
          <t>PPE</t>
        </is>
      </c>
      <c r="F366" t="inlineStr">
        <is>
          <t>Wound Care, Lab Consumables, Syringes &amp; Needles, IV Infusion Sets, Gauze &amp; Bandages, Disinfectants, IV Cannulas, Catheters</t>
        </is>
      </c>
      <c r="G366" t="inlineStr"/>
      <c r="H366" t="inlineStr">
        <is>
          <t>https://www.medzell.net/main-categories-application/therapeutic-devices/</t>
        </is>
      </c>
      <c r="I366" t="inlineStr">
        <is>
          <t>martin.a@staan.in</t>
        </is>
      </c>
      <c r="L366" t="inlineStr">
        <is>
          <t>Stated</t>
        </is>
      </c>
      <c r="M366" t="inlineStr"/>
      <c r="N366" t="inlineStr">
        <is>
          <t>FDA, TUV</t>
        </is>
      </c>
      <c r="O366" t="inlineStr">
        <is>
          <t>https://www.medzell.net/company/staan-bio-med-engineering-private-limited/</t>
        </is>
      </c>
      <c r="Q366" t="n">
        <v>10</v>
      </c>
      <c r="R366">
        <f>IF(Q366="","",IF(Q366&gt;=60,"HIGH",IF(Q366&gt;=30,"MEDIUM","LOW")))</f>
        <v/>
      </c>
      <c r="S366" t="inlineStr">
        <is>
          <t>New</t>
        </is>
      </c>
      <c r="T366" t="inlineStr">
        <is>
          <t>2026-03-05</t>
        </is>
      </c>
      <c r="U366" t="inlineStr">
        <is>
          <t>Seed=Medzell; Seed-file: output/medzell_company_urls.txt</t>
        </is>
      </c>
    </row>
    <row r="367">
      <c r="A367" t="n">
        <v>366</v>
      </c>
      <c r="B367" t="inlineStr">
        <is>
          <t>STAR WHITES INDUSTRIES: Premium Washer-Extractors &amp; Laundry Presses</t>
        </is>
      </c>
      <c r="C367" t="inlineStr"/>
      <c r="D367" t="inlineStr">
        <is>
          <t>Manufacturer</t>
        </is>
      </c>
      <c r="E367" t="inlineStr">
        <is>
          <t>PPE</t>
        </is>
      </c>
      <c r="F367" t="inlineStr">
        <is>
          <t>Wound Care, Lab Consumables, Syringes &amp; Needles, IV Infusion Sets, Gauze &amp; Bandages, Disinfectants, IV Cannulas, Catheters</t>
        </is>
      </c>
      <c r="G367" t="inlineStr"/>
      <c r="H367" t="inlineStr">
        <is>
          <t>https://www.medzell.net/main-categories-application/therapeutic-devices/</t>
        </is>
      </c>
      <c r="I367" t="inlineStr">
        <is>
          <t>info@starwhitesindia.com</t>
        </is>
      </c>
      <c r="L367" t="inlineStr"/>
      <c r="M367" t="inlineStr"/>
      <c r="N367" t="inlineStr">
        <is>
          <t>TUV</t>
        </is>
      </c>
      <c r="O367" t="inlineStr">
        <is>
          <t>https://www.medzell.net/company/star-whites-industries/</t>
        </is>
      </c>
      <c r="Q367" t="n">
        <v>25</v>
      </c>
      <c r="R367">
        <f>IF(Q367="","",IF(Q367&gt;=60,"HIGH",IF(Q367&gt;=30,"MEDIUM","LOW")))</f>
        <v/>
      </c>
      <c r="S367" t="inlineStr">
        <is>
          <t>New</t>
        </is>
      </c>
      <c r="T367" t="inlineStr">
        <is>
          <t>2026-03-05</t>
        </is>
      </c>
      <c r="U367" t="inlineStr">
        <is>
          <t>Seed=Medzell; Seed-file: output/medzell_company_urls.txt</t>
        </is>
      </c>
    </row>
    <row r="368">
      <c r="A368" t="n">
        <v>367</v>
      </c>
      <c r="B368" t="inlineStr">
        <is>
          <t>Starland Sanitary Products Co., Ltd.: Global Manufacturer of Sanitary Care and Hygiene Products</t>
        </is>
      </c>
      <c r="C368" t="inlineStr"/>
      <c r="D368" t="inlineStr">
        <is>
          <t>Manufacturer</t>
        </is>
      </c>
      <c r="E368" t="inlineStr">
        <is>
          <t>PPE</t>
        </is>
      </c>
      <c r="F368" t="inlineStr">
        <is>
          <t>Wound Care, Lab Consumables, Syringes &amp; Needles, IV Infusion Sets, Gauze &amp; Bandages, Disinfectants, IV Cannulas, Catheters</t>
        </is>
      </c>
      <c r="G368" t="inlineStr"/>
      <c r="H368" t="inlineStr">
        <is>
          <t>https://www.medzell.net/main-categories-application/therapeutic-devices/</t>
        </is>
      </c>
      <c r="I368" t="inlineStr">
        <is>
          <t>yaozhe@starlandcare.com</t>
        </is>
      </c>
      <c r="L368" t="inlineStr"/>
      <c r="M368" t="inlineStr"/>
      <c r="N368" t="inlineStr">
        <is>
          <t>FDA, TUV</t>
        </is>
      </c>
      <c r="O368" t="inlineStr">
        <is>
          <t>https://www.medzell.net/company/starland-sanitary-products-co-ltd/</t>
        </is>
      </c>
      <c r="Q368" t="n">
        <v>25</v>
      </c>
      <c r="R368">
        <f>IF(Q368="","",IF(Q368&gt;=60,"HIGH",IF(Q368&gt;=30,"MEDIUM","LOW")))</f>
        <v/>
      </c>
      <c r="S368" t="inlineStr">
        <is>
          <t>New</t>
        </is>
      </c>
      <c r="T368" t="inlineStr">
        <is>
          <t>2026-03-05</t>
        </is>
      </c>
      <c r="U368" t="inlineStr">
        <is>
          <t>Seed=Medzell; Seed-file: output/medzell_company_urls.txt</t>
        </is>
      </c>
    </row>
    <row r="369">
      <c r="A369" t="n">
        <v>368</v>
      </c>
      <c r="B369" t="inlineStr">
        <is>
          <t>Cutting-Edge Urological Medical Equipment | Status Medical Equipments India Private Limited</t>
        </is>
      </c>
      <c r="C369" t="inlineStr"/>
      <c r="D369" t="inlineStr">
        <is>
          <t>Manufacturer</t>
        </is>
      </c>
      <c r="E369" t="inlineStr">
        <is>
          <t>PPE</t>
        </is>
      </c>
      <c r="F369" t="inlineStr">
        <is>
          <t>Wound Care, Lab Consumables, Syringes &amp; Needles, IV Infusion Sets, Catheters, Gauze &amp; Bandages, Disinfectants, IV Cannulas</t>
        </is>
      </c>
      <c r="G369" t="inlineStr"/>
      <c r="H369" t="inlineStr">
        <is>
          <t>https://www.medzell.net/main-categories-application/therapeutic-devices/</t>
        </is>
      </c>
      <c r="I369" t="inlineStr">
        <is>
          <t>gandhali@statmedi.com</t>
        </is>
      </c>
      <c r="L369" t="inlineStr">
        <is>
          <t>Stated</t>
        </is>
      </c>
      <c r="M369" t="inlineStr"/>
      <c r="N369" t="inlineStr">
        <is>
          <t>FDA, TUV</t>
        </is>
      </c>
      <c r="O369" t="inlineStr">
        <is>
          <t>https://www.medzell.net/company/status-medical-equipments-india-private-limited/</t>
        </is>
      </c>
      <c r="Q369" t="n">
        <v>10</v>
      </c>
      <c r="R369">
        <f>IF(Q369="","",IF(Q369&gt;=60,"HIGH",IF(Q369&gt;=30,"MEDIUM","LOW")))</f>
        <v/>
      </c>
      <c r="S369" t="inlineStr">
        <is>
          <t>New</t>
        </is>
      </c>
      <c r="T369" t="inlineStr">
        <is>
          <t>2026-03-05</t>
        </is>
      </c>
      <c r="U369" t="inlineStr">
        <is>
          <t>Seed=Medzell; Seed-file: output/medzell_company_urls.txt</t>
        </is>
      </c>
    </row>
    <row r="370">
      <c r="A370" t="n">
        <v>369</v>
      </c>
      <c r="B370" t="inlineStr">
        <is>
          <t>Stavian Packaging - Sustainable Packaging Solutions for a Greener Future</t>
        </is>
      </c>
      <c r="C370" t="inlineStr"/>
      <c r="D370" t="inlineStr">
        <is>
          <t>Manufacturer</t>
        </is>
      </c>
      <c r="E370" t="inlineStr">
        <is>
          <t>PPE</t>
        </is>
      </c>
      <c r="F370" t="inlineStr">
        <is>
          <t>Wound Care, Lab Consumables, Syringes &amp; Needles, IV Infusion Sets, Gauze &amp; Bandages, Disinfectants, IV Cannulas, Catheters</t>
        </is>
      </c>
      <c r="G370" t="inlineStr"/>
      <c r="H370" t="inlineStr">
        <is>
          <t>https://www.medzell.net/main-categories-application/therapeutic-devices/</t>
        </is>
      </c>
      <c r="I370" t="inlineStr">
        <is>
          <t>bich.nguyen3@stavianpackaging.com</t>
        </is>
      </c>
      <c r="L370" t="inlineStr"/>
      <c r="M370" t="inlineStr"/>
      <c r="N370" t="inlineStr">
        <is>
          <t>TUV</t>
        </is>
      </c>
      <c r="O370" t="inlineStr">
        <is>
          <t>https://www.medzell.net/company/stavian-packaging/</t>
        </is>
      </c>
      <c r="Q370" t="n">
        <v>25</v>
      </c>
      <c r="R370">
        <f>IF(Q370="","",IF(Q370&gt;=60,"HIGH",IF(Q370&gt;=30,"MEDIUM","LOW")))</f>
        <v/>
      </c>
      <c r="S370" t="inlineStr">
        <is>
          <t>New</t>
        </is>
      </c>
      <c r="T370" t="inlineStr">
        <is>
          <t>2026-03-05</t>
        </is>
      </c>
      <c r="U370" t="inlineStr">
        <is>
          <t>Seed=Medzell; Seed-file: output/medzell_company_urls.txt</t>
        </is>
      </c>
    </row>
    <row r="371">
      <c r="A371" t="n">
        <v>370</v>
      </c>
      <c r="B371" t="inlineStr">
        <is>
          <t>Setra Medical – Leading Provider of CT Injectors, Neurosurgical &amp; Radiology Devices</t>
        </is>
      </c>
      <c r="C371" t="inlineStr"/>
      <c r="D371" t="inlineStr">
        <is>
          <t>Manufacturer</t>
        </is>
      </c>
      <c r="E371" t="inlineStr">
        <is>
          <t>PPE</t>
        </is>
      </c>
      <c r="F371" t="inlineStr">
        <is>
          <t>Wound Care, IV Infusion Sets, Lab Consumables, Syringes &amp; Needles, Gauze &amp; Bandages, Disinfectants, IV Cannulas, Catheters</t>
        </is>
      </c>
      <c r="G371" t="inlineStr"/>
      <c r="H371" t="inlineStr">
        <is>
          <t>https://www.medzell.net/main-categories-application/therapeutic-devices/</t>
        </is>
      </c>
      <c r="I371" t="inlineStr">
        <is>
          <t>duz@steramed.com.tr</t>
        </is>
      </c>
      <c r="L371" t="inlineStr"/>
      <c r="M371" t="inlineStr"/>
      <c r="N371" t="inlineStr">
        <is>
          <t>TUV</t>
        </is>
      </c>
      <c r="O371" t="inlineStr">
        <is>
          <t>https://www.medzell.net/company/stera-medikal/</t>
        </is>
      </c>
      <c r="Q371" t="n">
        <v>25</v>
      </c>
      <c r="R371">
        <f>IF(Q371="","",IF(Q371&gt;=60,"HIGH",IF(Q371&gt;=30,"MEDIUM","LOW")))</f>
        <v/>
      </c>
      <c r="S371" t="inlineStr">
        <is>
          <t>New</t>
        </is>
      </c>
      <c r="T371" t="inlineStr">
        <is>
          <t>2026-03-05</t>
        </is>
      </c>
      <c r="U371" t="inlineStr">
        <is>
          <t>Seed=Medzell; Seed-file: output/medzell_company_urls.txt</t>
        </is>
      </c>
    </row>
    <row r="372">
      <c r="A372" t="n">
        <v>371</v>
      </c>
      <c r="B372" t="inlineStr">
        <is>
          <t>Leading Indian Manufacturer of Advanced Sterilization and Disinfection Devices - Steri Techno Fab</t>
        </is>
      </c>
      <c r="C372" t="inlineStr"/>
      <c r="D372" t="inlineStr">
        <is>
          <t>Manufacturer</t>
        </is>
      </c>
      <c r="E372" t="inlineStr">
        <is>
          <t>PPE</t>
        </is>
      </c>
      <c r="F372" t="inlineStr">
        <is>
          <t>Wound Care, Lab Consumables, Syringes &amp; Needles, IV Infusion Sets, Gauze &amp; Bandages, Disinfectants, IV Cannulas, Catheters</t>
        </is>
      </c>
      <c r="G372" t="inlineStr"/>
      <c r="H372" t="inlineStr">
        <is>
          <t>https://www.medzell.net/main-categories-application/therapeutic-devices/</t>
        </is>
      </c>
      <c r="I372" t="inlineStr">
        <is>
          <t>ceo@steritechno.com</t>
        </is>
      </c>
      <c r="L372" t="inlineStr">
        <is>
          <t>Stated</t>
        </is>
      </c>
      <c r="M372" t="inlineStr"/>
      <c r="N372" t="inlineStr">
        <is>
          <t>TUV</t>
        </is>
      </c>
      <c r="O372" t="inlineStr">
        <is>
          <t>https://www.medzell.net/company/steri-techno-fab/</t>
        </is>
      </c>
      <c r="Q372" t="n">
        <v>10</v>
      </c>
      <c r="R372">
        <f>IF(Q372="","",IF(Q372&gt;=60,"HIGH",IF(Q372&gt;=30,"MEDIUM","LOW")))</f>
        <v/>
      </c>
      <c r="S372" t="inlineStr">
        <is>
          <t>New</t>
        </is>
      </c>
      <c r="T372" t="inlineStr">
        <is>
          <t>2026-03-05</t>
        </is>
      </c>
      <c r="U372" t="inlineStr">
        <is>
          <t>Seed=Medzell; Seed-file: output/medzell_company_urls.txt</t>
        </is>
      </c>
    </row>
    <row r="373">
      <c r="A373" t="n">
        <v>372</v>
      </c>
      <c r="B373" t="inlineStr">
        <is>
          <t>Safeguarding Excellence: Sterile World Technologies - Your Trusted Partner in Premium Sterilization Solutions</t>
        </is>
      </c>
      <c r="C373" t="inlineStr"/>
      <c r="D373" t="inlineStr">
        <is>
          <t>Manufacturer</t>
        </is>
      </c>
      <c r="E373" t="inlineStr">
        <is>
          <t>PPE</t>
        </is>
      </c>
      <c r="F373" t="inlineStr">
        <is>
          <t>Wound Care, Lab Consumables, Syringes &amp; Needles, IV Infusion Sets, Catheters, Gauze &amp; Bandages, Disinfectants, IV Cannulas</t>
        </is>
      </c>
      <c r="G373" t="inlineStr"/>
      <c r="H373" t="inlineStr">
        <is>
          <t>https://www.medzell.net/main-categories-application/therapeutic-devices/</t>
        </is>
      </c>
      <c r="I373" t="inlineStr">
        <is>
          <t>keyshor@sterilewt.com</t>
        </is>
      </c>
      <c r="L373" t="inlineStr">
        <is>
          <t>Stated</t>
        </is>
      </c>
      <c r="M373" t="inlineStr"/>
      <c r="N373" t="inlineStr">
        <is>
          <t>TUV</t>
        </is>
      </c>
      <c r="O373" t="inlineStr">
        <is>
          <t>https://www.medzell.net/company/sterile-world-technologies-llp-swt/</t>
        </is>
      </c>
      <c r="Q373" t="n">
        <v>10</v>
      </c>
      <c r="R373">
        <f>IF(Q373="","",IF(Q373&gt;=60,"HIGH",IF(Q373&gt;=30,"MEDIUM","LOW")))</f>
        <v/>
      </c>
      <c r="S373" t="inlineStr">
        <is>
          <t>New</t>
        </is>
      </c>
      <c r="T373" t="inlineStr">
        <is>
          <t>2026-03-05</t>
        </is>
      </c>
      <c r="U373" t="inlineStr">
        <is>
          <t>Seed=Medzell; Seed-file: output/medzell_company_urls.txt</t>
        </is>
      </c>
    </row>
    <row r="374">
      <c r="A374" t="n">
        <v>373</v>
      </c>
      <c r="B374" t="inlineStr">
        <is>
          <t>Sunfox | Revolutionizing Healthcare with Portable ECG &amp; Medical Innovation</t>
        </is>
      </c>
      <c r="C374" t="inlineStr"/>
      <c r="D374" t="inlineStr">
        <is>
          <t>Manufacturer</t>
        </is>
      </c>
      <c r="E374" t="inlineStr">
        <is>
          <t>PPE</t>
        </is>
      </c>
      <c r="F374" t="inlineStr">
        <is>
          <t>Wound Care, Lab Consumables, Syringes &amp; Needles, IV Infusion Sets, Gauze &amp; Bandages, Disinfectants, IV Cannulas, Catheters</t>
        </is>
      </c>
      <c r="G374" t="inlineStr"/>
      <c r="H374" t="inlineStr">
        <is>
          <t>https://www.medzell.net/main-categories-application/therapeutic-devices/</t>
        </is>
      </c>
      <c r="I374" t="inlineStr">
        <is>
          <t>apoorv@sunfox.in</t>
        </is>
      </c>
      <c r="L374" t="inlineStr">
        <is>
          <t>Stated</t>
        </is>
      </c>
      <c r="M374" t="inlineStr"/>
      <c r="N374" t="inlineStr">
        <is>
          <t>TUV</t>
        </is>
      </c>
      <c r="O374" t="inlineStr">
        <is>
          <t>https://www.medzell.net/company/sunfox-technologies-pvt-ltd/</t>
        </is>
      </c>
      <c r="Q374" t="n">
        <v>10</v>
      </c>
      <c r="R374">
        <f>IF(Q374="","",IF(Q374&gt;=60,"HIGH",IF(Q374&gt;=30,"MEDIUM","LOW")))</f>
        <v/>
      </c>
      <c r="S374" t="inlineStr">
        <is>
          <t>New</t>
        </is>
      </c>
      <c r="T374" t="inlineStr">
        <is>
          <t>2026-03-05</t>
        </is>
      </c>
      <c r="U374" t="inlineStr">
        <is>
          <t>Seed=Medzell; Seed-file: output/medzell_company_urls.txt</t>
        </is>
      </c>
    </row>
    <row r="375">
      <c r="A375" t="n">
        <v>374</v>
      </c>
      <c r="B375" t="inlineStr">
        <is>
          <t>Sunrise Medi Optic Devices: India's Leading Manufacturer of Microscopes and Air Sterilizers</t>
        </is>
      </c>
      <c r="C375" t="inlineStr"/>
      <c r="D375" t="inlineStr">
        <is>
          <t>Manufacturer</t>
        </is>
      </c>
      <c r="E375" t="inlineStr">
        <is>
          <t>PPE</t>
        </is>
      </c>
      <c r="F375" t="inlineStr">
        <is>
          <t>Wound Care, Lab Consumables, Syringes &amp; Needles, IV Infusion Sets, Gauze &amp; Bandages, Disinfectants, IV Cannulas, Catheters</t>
        </is>
      </c>
      <c r="G375" t="inlineStr"/>
      <c r="H375" t="inlineStr">
        <is>
          <t>https://www.medzell.net/main-categories-application/therapeutic-devices/</t>
        </is>
      </c>
      <c r="I375" t="inlineStr">
        <is>
          <t>sunrisemediopticrishabhdevices@gmail.com</t>
        </is>
      </c>
      <c r="L375" t="inlineStr"/>
      <c r="M375" t="inlineStr"/>
      <c r="N375" t="inlineStr">
        <is>
          <t>TUV</t>
        </is>
      </c>
      <c r="O375" t="inlineStr">
        <is>
          <t>https://www.medzell.net/company/sunrise-medi-optic-devices/</t>
        </is>
      </c>
      <c r="Q375" t="n">
        <v>45</v>
      </c>
      <c r="R375">
        <f>IF(Q375="","",IF(Q375&gt;=60,"HIGH",IF(Q375&gt;=30,"MEDIUM","LOW")))</f>
        <v/>
      </c>
      <c r="S375" t="inlineStr">
        <is>
          <t>New</t>
        </is>
      </c>
      <c r="T375" t="inlineStr">
        <is>
          <t>2026-03-05</t>
        </is>
      </c>
      <c r="U375" t="inlineStr">
        <is>
          <t>Seed=Medzell; Seed-file: output/medzell_company_urls.txt</t>
        </is>
      </c>
    </row>
    <row r="376">
      <c r="A376" t="n">
        <v>375</v>
      </c>
      <c r="B376" t="inlineStr">
        <is>
          <t>SEVITSIL® – Trusted Indian Manufacturer of Silicone Tubing &amp; Medical-Grade Rubber Products</t>
        </is>
      </c>
      <c r="C376" t="inlineStr"/>
      <c r="D376" t="inlineStr">
        <is>
          <t>Manufacturer</t>
        </is>
      </c>
      <c r="E376" t="inlineStr">
        <is>
          <t>PPE</t>
        </is>
      </c>
      <c r="F376" t="inlineStr">
        <is>
          <t>Wound Care, Lab Consumables, Syringes &amp; Needles, IV Infusion Sets, Gauze &amp; Bandages, Disinfectants, IV Cannulas, Catheters</t>
        </is>
      </c>
      <c r="G376" t="inlineStr"/>
      <c r="H376" t="inlineStr">
        <is>
          <t>https://www.medzell.net/main-categories-application/therapeutic-devices/</t>
        </is>
      </c>
      <c r="I376" t="inlineStr">
        <is>
          <t>design@sevitsil.com</t>
        </is>
      </c>
      <c r="L376" t="inlineStr">
        <is>
          <t>Stated</t>
        </is>
      </c>
      <c r="M376" t="inlineStr"/>
      <c r="N376" t="inlineStr">
        <is>
          <t>FDA, TUV</t>
        </is>
      </c>
      <c r="O376" t="inlineStr">
        <is>
          <t>https://www.medzell.net/company/suresh-enterprises/</t>
        </is>
      </c>
      <c r="Q376" t="n">
        <v>10</v>
      </c>
      <c r="R376">
        <f>IF(Q376="","",IF(Q376&gt;=60,"HIGH",IF(Q376&gt;=30,"MEDIUM","LOW")))</f>
        <v/>
      </c>
      <c r="S376" t="inlineStr">
        <is>
          <t>New</t>
        </is>
      </c>
      <c r="T376" t="inlineStr">
        <is>
          <t>2026-03-05</t>
        </is>
      </c>
      <c r="U376" t="inlineStr">
        <is>
          <t>Seed=Medzell; Seed-file: output/medzell_company_urls.txt</t>
        </is>
      </c>
    </row>
    <row r="377">
      <c r="A377" t="n">
        <v>376</v>
      </c>
      <c r="B377" t="inlineStr">
        <is>
          <t>Top-Quality Surgical Drapes, Delivery Mats, and More - Surgeons Micro Barrier</t>
        </is>
      </c>
      <c r="C377" t="inlineStr"/>
      <c r="D377" t="inlineStr">
        <is>
          <t>Manufacturer</t>
        </is>
      </c>
      <c r="E377" t="inlineStr">
        <is>
          <t>PPE</t>
        </is>
      </c>
      <c r="F377" t="inlineStr">
        <is>
          <t>Wound Care, Lab Consumables, Syringes &amp; Needles, IV Infusion Sets, Catheters, Gauze &amp; Bandages, Disinfectants, IV Cannulas</t>
        </is>
      </c>
      <c r="G377" t="inlineStr"/>
      <c r="H377" t="inlineStr">
        <is>
          <t>https://www.medzell.net/main-categories-application/therapeutic-devices/</t>
        </is>
      </c>
      <c r="I377" t="inlineStr">
        <is>
          <t>microbarrier@gmail.com</t>
        </is>
      </c>
      <c r="L377" t="inlineStr"/>
      <c r="M377" t="inlineStr"/>
      <c r="N377" t="inlineStr">
        <is>
          <t>TUV</t>
        </is>
      </c>
      <c r="O377" t="inlineStr">
        <is>
          <t>https://www.medzell.net/company/surgeons-micro-barrier/</t>
        </is>
      </c>
      <c r="Q377" t="n">
        <v>45</v>
      </c>
      <c r="R377">
        <f>IF(Q377="","",IF(Q377&gt;=60,"HIGH",IF(Q377&gt;=30,"MEDIUM","LOW")))</f>
        <v/>
      </c>
      <c r="S377" t="inlineStr">
        <is>
          <t>New</t>
        </is>
      </c>
      <c r="T377" t="inlineStr">
        <is>
          <t>2026-03-05</t>
        </is>
      </c>
      <c r="U377" t="inlineStr">
        <is>
          <t>Seed=Medzell; Seed-file: output/medzell_company_urls.txt</t>
        </is>
      </c>
    </row>
    <row r="378">
      <c r="A378" t="n">
        <v>377</v>
      </c>
      <c r="B378" t="inlineStr">
        <is>
          <t>Surgimill Medical Systems Pvt. Ltd. - Top-Quality Medical Furniture and Hospital Equipment Manufacturer in India</t>
        </is>
      </c>
      <c r="C378" t="inlineStr"/>
      <c r="D378" t="inlineStr">
        <is>
          <t>Manufacturer</t>
        </is>
      </c>
      <c r="E378" t="inlineStr">
        <is>
          <t>PPE</t>
        </is>
      </c>
      <c r="F378" t="inlineStr">
        <is>
          <t>Wound Care, Lab Consumables, Syringes &amp; Needles, IV Infusion Sets, Gauze &amp; Bandages, Disinfectants, IV Cannulas, Catheters</t>
        </is>
      </c>
      <c r="G378" t="inlineStr"/>
      <c r="H378" t="inlineStr">
        <is>
          <t>https://www.medzell.net/main-categories-application/therapeutic-devices/</t>
        </is>
      </c>
      <c r="I378" t="inlineStr">
        <is>
          <t>support@surgimill.com</t>
        </is>
      </c>
      <c r="L378" t="inlineStr"/>
      <c r="M378" t="inlineStr"/>
      <c r="N378" t="inlineStr">
        <is>
          <t>TUV</t>
        </is>
      </c>
      <c r="O378" t="inlineStr">
        <is>
          <t>https://www.medzell.net/company/surgimill-medical-systems-pvt-ltd/</t>
        </is>
      </c>
      <c r="Q378" t="n">
        <v>25</v>
      </c>
      <c r="R378">
        <f>IF(Q378="","",IF(Q378&gt;=60,"HIGH",IF(Q378&gt;=30,"MEDIUM","LOW")))</f>
        <v/>
      </c>
      <c r="S378" t="inlineStr">
        <is>
          <t>New</t>
        </is>
      </c>
      <c r="T378" t="inlineStr">
        <is>
          <t>2026-03-05</t>
        </is>
      </c>
      <c r="U378" t="inlineStr">
        <is>
          <t>Seed=Medzell; Seed-file: output/medzell_company_urls.txt</t>
        </is>
      </c>
    </row>
    <row r="379">
      <c r="A379" t="n">
        <v>378</v>
      </c>
      <c r="B379" t="inlineStr">
        <is>
          <t>High-Quality Medical Devices | SURU International Pvt. Ltd.</t>
        </is>
      </c>
      <c r="C379" t="inlineStr"/>
      <c r="D379" t="inlineStr">
        <is>
          <t>Manufacturer</t>
        </is>
      </c>
      <c r="E379" t="inlineStr">
        <is>
          <t>PPE</t>
        </is>
      </c>
      <c r="F379" t="inlineStr">
        <is>
          <t>Wound Care, Catheters, IV Infusion Sets, Lab Consumables, Syringes &amp; Needles, Gauze &amp; Bandages, Disinfectants, IV Cannulas</t>
        </is>
      </c>
      <c r="G379" t="inlineStr"/>
      <c r="H379" t="inlineStr">
        <is>
          <t>https://www.medzell.net/main-categories-application/therapeutic-devices/</t>
        </is>
      </c>
      <c r="I379" t="inlineStr">
        <is>
          <t>sales@suru.com</t>
        </is>
      </c>
      <c r="L379" t="inlineStr">
        <is>
          <t>Stated</t>
        </is>
      </c>
      <c r="M379" t="inlineStr">
        <is>
          <t>Stated</t>
        </is>
      </c>
      <c r="N379" t="inlineStr">
        <is>
          <t>GMP, TUV</t>
        </is>
      </c>
      <c r="O379" t="inlineStr">
        <is>
          <t>https://www.medzell.net/company/suru-international-pvt-ltd/</t>
        </is>
      </c>
      <c r="Q379" t="n">
        <v>0</v>
      </c>
      <c r="R379">
        <f>IF(Q379="","",IF(Q379&gt;=60,"HIGH",IF(Q379&gt;=30,"MEDIUM","LOW")))</f>
        <v/>
      </c>
      <c r="S379" t="inlineStr">
        <is>
          <t>New</t>
        </is>
      </c>
      <c r="T379" t="inlineStr">
        <is>
          <t>2026-03-05</t>
        </is>
      </c>
      <c r="U379" t="inlineStr">
        <is>
          <t>Seed=Medzell; Seed-file: output/medzell_company_urls.txt</t>
        </is>
      </c>
    </row>
    <row r="380">
      <c r="A380" t="n">
        <v>379</v>
      </c>
      <c r="B380" t="inlineStr">
        <is>
          <t>Premium Sterile Latex Surgical Gloves | Latex/Nitrile Examination Gloves | Gynecology Gloves | Orthopedic Surgical Latex Gloves - Swear Healthcare Pvt. Ltd.</t>
        </is>
      </c>
      <c r="C380" t="inlineStr"/>
      <c r="D380" t="inlineStr">
        <is>
          <t>Manufacturer</t>
        </is>
      </c>
      <c r="E380" t="inlineStr">
        <is>
          <t>PPE</t>
        </is>
      </c>
      <c r="F380" t="inlineStr">
        <is>
          <t>Wound Care, Gloves, Lab Consumables, Syringes &amp; Needles, IV Infusion Sets, Gauze &amp; Bandages, Disinfectants, IV Cannulas, Catheters</t>
        </is>
      </c>
      <c r="G380" t="inlineStr"/>
      <c r="H380" t="inlineStr">
        <is>
          <t>https://www.medzell.net/main-categories-application/therapeutic-devices/</t>
        </is>
      </c>
      <c r="I380" t="inlineStr">
        <is>
          <t>exports1@swearhealthcare.com</t>
        </is>
      </c>
      <c r="L380" t="inlineStr">
        <is>
          <t>Stated</t>
        </is>
      </c>
      <c r="M380" t="inlineStr"/>
      <c r="N380" t="inlineStr">
        <is>
          <t>TUV</t>
        </is>
      </c>
      <c r="O380" t="inlineStr">
        <is>
          <t>https://www.medzell.net/company/swear-healthcare-pvt-ltd/</t>
        </is>
      </c>
      <c r="Q380" t="n">
        <v>10</v>
      </c>
      <c r="R380">
        <f>IF(Q380="","",IF(Q380&gt;=60,"HIGH",IF(Q380&gt;=30,"MEDIUM","LOW")))</f>
        <v/>
      </c>
      <c r="S380" t="inlineStr">
        <is>
          <t>New</t>
        </is>
      </c>
      <c r="T380" t="inlineStr">
        <is>
          <t>2026-03-05</t>
        </is>
      </c>
      <c r="U380" t="inlineStr">
        <is>
          <t>Seed=Medzell; Seed-file: output/medzell_company_urls.txt</t>
        </is>
      </c>
    </row>
    <row r="381">
      <c r="A381" t="n">
        <v>380</v>
      </c>
      <c r="B381" t="inlineStr">
        <is>
          <t>Swejer Healthcare | Manufacturer of Sterile &amp; Non-Sterile Surgical Dressing Products</t>
        </is>
      </c>
      <c r="C381" t="inlineStr"/>
      <c r="D381" t="inlineStr">
        <is>
          <t>Manufacturer</t>
        </is>
      </c>
      <c r="E381" t="inlineStr">
        <is>
          <t>PPE</t>
        </is>
      </c>
      <c r="F381" t="inlineStr">
        <is>
          <t>Wound Care, Lab Consumables, Syringes &amp; Needles, IV Infusion Sets, Gauze &amp; Bandages, Disinfectants, IV Cannulas, Catheters</t>
        </is>
      </c>
      <c r="G381" t="inlineStr"/>
      <c r="H381" t="inlineStr">
        <is>
          <t>https://www.medzell.net/main-categories-application/therapeutic-devices/</t>
        </is>
      </c>
      <c r="I381" t="inlineStr">
        <is>
          <t>swejer.overseas@gmail.com</t>
        </is>
      </c>
      <c r="L381" t="inlineStr">
        <is>
          <t>Stated</t>
        </is>
      </c>
      <c r="M381" t="inlineStr"/>
      <c r="N381" t="inlineStr">
        <is>
          <t>TUV</t>
        </is>
      </c>
      <c r="O381" t="inlineStr">
        <is>
          <t>https://www.medzell.net/company/swejer-healthcare/</t>
        </is>
      </c>
      <c r="Q381" t="n">
        <v>30</v>
      </c>
      <c r="R381">
        <f>IF(Q381="","",IF(Q381&gt;=60,"HIGH",IF(Q381&gt;=30,"MEDIUM","LOW")))</f>
        <v/>
      </c>
      <c r="S381" t="inlineStr">
        <is>
          <t>New</t>
        </is>
      </c>
      <c r="T381" t="inlineStr">
        <is>
          <t>2026-03-05</t>
        </is>
      </c>
      <c r="U381" t="inlineStr">
        <is>
          <t>Seed=Medzell; Seed-file: output/medzell_company_urls.txt</t>
        </is>
      </c>
    </row>
    <row r="382">
      <c r="A382" t="n">
        <v>381</v>
      </c>
      <c r="B382" t="inlineStr">
        <is>
          <t>Tan90 Thermal Solutions: Premier Thermal Med Solutions &amp; Pharma Packaging</t>
        </is>
      </c>
      <c r="C382" t="inlineStr"/>
      <c r="D382" t="inlineStr">
        <is>
          <t>Manufacturer</t>
        </is>
      </c>
      <c r="E382" t="inlineStr">
        <is>
          <t>PPE</t>
        </is>
      </c>
      <c r="F382" t="inlineStr">
        <is>
          <t>Wound Care, Lab Consumables, Syringes &amp; Needles, IV Infusion Sets, Gauze &amp; Bandages, Disinfectants, IV Cannulas, Catheters</t>
        </is>
      </c>
      <c r="G382" t="inlineStr"/>
      <c r="H382" t="inlineStr">
        <is>
          <t>https://www.medzell.net/main-categories-application/therapeutic-devices/</t>
        </is>
      </c>
      <c r="I382" t="inlineStr">
        <is>
          <t>narasiman.ev@tan90thermal.com</t>
        </is>
      </c>
      <c r="L382" t="inlineStr"/>
      <c r="M382" t="inlineStr"/>
      <c r="N382" t="inlineStr">
        <is>
          <t>TUV</t>
        </is>
      </c>
      <c r="O382" t="inlineStr">
        <is>
          <t>https://www.medzell.net/company/tan90-thermal-solutions/</t>
        </is>
      </c>
      <c r="Q382" t="n">
        <v>25</v>
      </c>
      <c r="R382">
        <f>IF(Q382="","",IF(Q382&gt;=60,"HIGH",IF(Q382&gt;=30,"MEDIUM","LOW")))</f>
        <v/>
      </c>
      <c r="S382" t="inlineStr">
        <is>
          <t>New</t>
        </is>
      </c>
      <c r="T382" t="inlineStr">
        <is>
          <t>2026-03-05</t>
        </is>
      </c>
      <c r="U382" t="inlineStr">
        <is>
          <t>Seed=Medzell; Seed-file: output/medzell_company_urls.txt</t>
        </is>
      </c>
    </row>
    <row r="383">
      <c r="A383" t="n">
        <v>382</v>
      </c>
      <c r="B383" t="inlineStr">
        <is>
          <t>Techinvention Lifecare Pvt Ltd - Superior DNA &amp; RNA Kits Manufacturer</t>
        </is>
      </c>
      <c r="C383" t="inlineStr"/>
      <c r="D383" t="inlineStr">
        <is>
          <t>Manufacturer</t>
        </is>
      </c>
      <c r="E383" t="inlineStr">
        <is>
          <t>PPE</t>
        </is>
      </c>
      <c r="F383" t="inlineStr">
        <is>
          <t>Wound Care, Lab Consumables, Syringes &amp; Needles, IV Infusion Sets, Gauze &amp; Bandages, Disinfectants, IV Cannulas, Catheters</t>
        </is>
      </c>
      <c r="G383" t="inlineStr"/>
      <c r="H383" t="inlineStr">
        <is>
          <t>https://www.medzell.net/main-categories-application/therapeutic-devices/</t>
        </is>
      </c>
      <c r="I383" t="inlineStr">
        <is>
          <t>aziz@techinvention.biz</t>
        </is>
      </c>
      <c r="L383" t="inlineStr">
        <is>
          <t>Stated</t>
        </is>
      </c>
      <c r="M383" t="inlineStr"/>
      <c r="N383" t="inlineStr">
        <is>
          <t>TUV</t>
        </is>
      </c>
      <c r="O383" t="inlineStr">
        <is>
          <t>https://www.medzell.net/company/techinvention-lifecare-private-limited/</t>
        </is>
      </c>
      <c r="Q383" t="n">
        <v>10</v>
      </c>
      <c r="R383">
        <f>IF(Q383="","",IF(Q383&gt;=60,"HIGH",IF(Q383&gt;=30,"MEDIUM","LOW")))</f>
        <v/>
      </c>
      <c r="S383" t="inlineStr">
        <is>
          <t>New</t>
        </is>
      </c>
      <c r="T383" t="inlineStr">
        <is>
          <t>2026-03-05</t>
        </is>
      </c>
      <c r="U383" t="inlineStr">
        <is>
          <t>Seed=Medzell; Seed-file: output/medzell_company_urls.txt</t>
        </is>
      </c>
    </row>
    <row r="384">
      <c r="A384" t="n">
        <v>383</v>
      </c>
      <c r="B384" t="inlineStr">
        <is>
          <t>Compliant and Efficient: Technik Spirits Inc.'s Medical Gas Generation Systems</t>
        </is>
      </c>
      <c r="C384" t="inlineStr"/>
      <c r="D384" t="inlineStr">
        <is>
          <t>Manufacturer</t>
        </is>
      </c>
      <c r="E384" t="inlineStr">
        <is>
          <t>PPE</t>
        </is>
      </c>
      <c r="F384" t="inlineStr">
        <is>
          <t>Wound Care, Lab Consumables, Syringes &amp; Needles, IV Infusion Sets, Gauze &amp; Bandages, Disinfectants, IV Cannulas, Catheters</t>
        </is>
      </c>
      <c r="G384" t="inlineStr"/>
      <c r="H384" t="inlineStr">
        <is>
          <t>https://www.medzell.net/main-categories-application/therapeutic-devices/</t>
        </is>
      </c>
      <c r="I384" t="inlineStr">
        <is>
          <t>sales@ts11.in</t>
        </is>
      </c>
      <c r="L384" t="inlineStr"/>
      <c r="M384" t="inlineStr"/>
      <c r="N384" t="inlineStr">
        <is>
          <t>TUV</t>
        </is>
      </c>
      <c r="O384" t="inlineStr">
        <is>
          <t>https://www.medzell.net/company/technik-spirirts-inc/</t>
        </is>
      </c>
      <c r="Q384" t="n">
        <v>25</v>
      </c>
      <c r="R384">
        <f>IF(Q384="","",IF(Q384&gt;=60,"HIGH",IF(Q384&gt;=30,"MEDIUM","LOW")))</f>
        <v/>
      </c>
      <c r="S384" t="inlineStr">
        <is>
          <t>New</t>
        </is>
      </c>
      <c r="T384" t="inlineStr">
        <is>
          <t>2026-03-05</t>
        </is>
      </c>
      <c r="U384" t="inlineStr">
        <is>
          <t>Seed=Medzell; Seed-file: output/medzell_company_urls.txt</t>
        </is>
      </c>
    </row>
    <row r="385">
      <c r="A385" t="n">
        <v>384</v>
      </c>
      <c r="B385" t="inlineStr">
        <is>
          <t>Technomac Medical Systems: Your Source for High-Quality Dental X-Ray Machines and More</t>
        </is>
      </c>
      <c r="C385" t="inlineStr"/>
      <c r="D385" t="inlineStr">
        <is>
          <t>Manufacturer</t>
        </is>
      </c>
      <c r="E385" t="inlineStr">
        <is>
          <t>PPE</t>
        </is>
      </c>
      <c r="F385" t="inlineStr">
        <is>
          <t>Wound Care, Lab Consumables, Syringes &amp; Needles, IV Infusion Sets, Gauze &amp; Bandages, Disinfectants, IV Cannulas, Catheters, Gloves</t>
        </is>
      </c>
      <c r="G385" t="inlineStr"/>
      <c r="H385" t="inlineStr">
        <is>
          <t>https://www.medzell.net/main-categories-application/therapeutic-devices/</t>
        </is>
      </c>
      <c r="I385" t="inlineStr">
        <is>
          <t>technomacdental61@gmail.com</t>
        </is>
      </c>
      <c r="L385" t="inlineStr"/>
      <c r="M385" t="inlineStr"/>
      <c r="N385" t="inlineStr">
        <is>
          <t>TUV</t>
        </is>
      </c>
      <c r="O385" t="inlineStr">
        <is>
          <t>https://www.medzell.net/company/technomac-medical-systems-pvt-ltd/</t>
        </is>
      </c>
      <c r="Q385" t="n">
        <v>45</v>
      </c>
      <c r="R385">
        <f>IF(Q385="","",IF(Q385&gt;=60,"HIGH",IF(Q385&gt;=30,"MEDIUM","LOW")))</f>
        <v/>
      </c>
      <c r="S385" t="inlineStr">
        <is>
          <t>New</t>
        </is>
      </c>
      <c r="T385" t="inlineStr">
        <is>
          <t>2026-03-05</t>
        </is>
      </c>
      <c r="U385" t="inlineStr">
        <is>
          <t>Seed=Medzell; Seed-file: output/medzell_company_urls.txt</t>
        </is>
      </c>
    </row>
    <row r="386">
      <c r="A386" t="n">
        <v>385</v>
      </c>
      <c r="B386" t="inlineStr">
        <is>
          <t>The Western Electric &amp; Scientific Works (Weswox Optik)</t>
        </is>
      </c>
      <c r="C386" t="inlineStr"/>
      <c r="D386" t="inlineStr">
        <is>
          <t>Manufacturer</t>
        </is>
      </c>
      <c r="E386" t="inlineStr">
        <is>
          <t>PPE</t>
        </is>
      </c>
      <c r="F386" t="inlineStr">
        <is>
          <t>Wound Care, Lab Consumables, Syringes &amp; Needles, IV Infusion Sets, Gauze &amp; Bandages, Disinfectants, IV Cannulas, Catheters</t>
        </is>
      </c>
      <c r="G386" t="inlineStr"/>
      <c r="H386" t="inlineStr">
        <is>
          <t>https://www.medzell.net/main-categories-application/therapeutic-devices/</t>
        </is>
      </c>
      <c r="I386" t="inlineStr">
        <is>
          <t>info@weswox.com</t>
        </is>
      </c>
      <c r="L386" t="inlineStr"/>
      <c r="M386" t="inlineStr"/>
      <c r="N386" t="inlineStr">
        <is>
          <t>TUV</t>
        </is>
      </c>
      <c r="O386" t="inlineStr">
        <is>
          <t>https://www.medzell.net/company/the-western-electric-scientific-works-weswox-optik/</t>
        </is>
      </c>
      <c r="Q386" t="n">
        <v>25</v>
      </c>
      <c r="R386">
        <f>IF(Q386="","",IF(Q386&gt;=60,"HIGH",IF(Q386&gt;=30,"MEDIUM","LOW")))</f>
        <v/>
      </c>
      <c r="S386" t="inlineStr">
        <is>
          <t>New</t>
        </is>
      </c>
      <c r="T386" t="inlineStr">
        <is>
          <t>2026-03-05</t>
        </is>
      </c>
      <c r="U386" t="inlineStr">
        <is>
          <t>Seed=Medzell; Seed-file: output/medzell_company_urls.txt</t>
        </is>
      </c>
    </row>
    <row r="387">
      <c r="A387" t="n">
        <v>386</v>
      </c>
      <c r="B387" t="inlineStr">
        <is>
          <t>Thermaissance – Advanced Antimicrobial &amp; Thermoregulating Fabrics for Healthcare</t>
        </is>
      </c>
      <c r="C387" t="inlineStr"/>
      <c r="D387" t="inlineStr">
        <is>
          <t>Manufacturer</t>
        </is>
      </c>
      <c r="E387" t="inlineStr">
        <is>
          <t>PPE</t>
        </is>
      </c>
      <c r="F387" t="inlineStr">
        <is>
          <t>Wound Care, Lab Consumables, Syringes &amp; Needles, IV Infusion Sets, Gauze &amp; Bandages, Disinfectants, IV Cannulas, Catheters</t>
        </is>
      </c>
      <c r="G387" t="inlineStr"/>
      <c r="H387" t="inlineStr">
        <is>
          <t>https://www.medzell.net/main-categories-application/therapeutic-devices/</t>
        </is>
      </c>
      <c r="I387" t="inlineStr">
        <is>
          <t>sitopal.neogy@thermaissance.com</t>
        </is>
      </c>
      <c r="L387" t="inlineStr"/>
      <c r="M387" t="inlineStr"/>
      <c r="N387" t="inlineStr">
        <is>
          <t>TUV</t>
        </is>
      </c>
      <c r="O387" t="inlineStr">
        <is>
          <t>https://www.medzell.net/company/thermaissance/</t>
        </is>
      </c>
      <c r="Q387" t="n">
        <v>25</v>
      </c>
      <c r="R387">
        <f>IF(Q387="","",IF(Q387&gt;=60,"HIGH",IF(Q387&gt;=30,"MEDIUM","LOW")))</f>
        <v/>
      </c>
      <c r="S387" t="inlineStr">
        <is>
          <t>New</t>
        </is>
      </c>
      <c r="T387" t="inlineStr">
        <is>
          <t>2026-03-05</t>
        </is>
      </c>
      <c r="U387" t="inlineStr">
        <is>
          <t>Seed=Medzell; Seed-file: output/medzell_company_urls.txt</t>
        </is>
      </c>
    </row>
    <row r="388">
      <c r="A388" t="n">
        <v>387</v>
      </c>
      <c r="B388" t="inlineStr">
        <is>
          <t>ThinkEhoo Medical Technology | Innovating Respiratory &amp; Anesthesia Care</t>
        </is>
      </c>
      <c r="C388" t="inlineStr"/>
      <c r="D388" t="inlineStr">
        <is>
          <t>Manufacturer</t>
        </is>
      </c>
      <c r="E388" t="inlineStr">
        <is>
          <t>PPE</t>
        </is>
      </c>
      <c r="F388" t="inlineStr">
        <is>
          <t>Wound Care, Lab Consumables, Syringes &amp; Needles, IV Infusion Sets, Catheters, Gauze &amp; Bandages, Disinfectants, IV Cannulas</t>
        </is>
      </c>
      <c r="G388" t="inlineStr"/>
      <c r="H388" t="inlineStr">
        <is>
          <t>https://www.medzell.net/main-categories-application/therapeutic-devices/</t>
        </is>
      </c>
      <c r="I388" t="inlineStr">
        <is>
          <t>cassie@thinkehoo.com</t>
        </is>
      </c>
      <c r="L388" t="inlineStr">
        <is>
          <t>Stated</t>
        </is>
      </c>
      <c r="M388" t="inlineStr"/>
      <c r="N388" t="inlineStr">
        <is>
          <t>FDA, TUV</t>
        </is>
      </c>
      <c r="O388" t="inlineStr">
        <is>
          <t>https://www.medzell.net/company/thinkehoo-medical-technology-hangzhou-co-ltd/</t>
        </is>
      </c>
      <c r="Q388" t="n">
        <v>10</v>
      </c>
      <c r="R388">
        <f>IF(Q388="","",IF(Q388&gt;=60,"HIGH",IF(Q388&gt;=30,"MEDIUM","LOW")))</f>
        <v/>
      </c>
      <c r="S388" t="inlineStr">
        <is>
          <t>New</t>
        </is>
      </c>
      <c r="T388" t="inlineStr">
        <is>
          <t>2026-03-05</t>
        </is>
      </c>
      <c r="U388" t="inlineStr">
        <is>
          <t>Seed=Medzell; Seed-file: output/medzell_company_urls.txt</t>
        </is>
      </c>
    </row>
    <row r="389">
      <c r="A389" t="n">
        <v>388</v>
      </c>
      <c r="B389" t="inlineStr">
        <is>
          <t>Times Medicare Systems | Leading Manufacturer of Hospital Furniture</t>
        </is>
      </c>
      <c r="C389" t="inlineStr"/>
      <c r="D389" t="inlineStr">
        <is>
          <t>Manufacturer</t>
        </is>
      </c>
      <c r="E389" t="inlineStr">
        <is>
          <t>PPE</t>
        </is>
      </c>
      <c r="F389" t="inlineStr">
        <is>
          <t>Wound Care, Lab Consumables, Syringes &amp; Needles, IV Infusion Sets, Gauze &amp; Bandages, Disinfectants, IV Cannulas, Catheters</t>
        </is>
      </c>
      <c r="G389" t="inlineStr"/>
      <c r="H389" t="inlineStr">
        <is>
          <t>https://www.medzell.net/main-categories-application/therapeutic-devices/</t>
        </is>
      </c>
      <c r="I389" t="inlineStr">
        <is>
          <t>timesmedicaresystems@gmail.com</t>
        </is>
      </c>
      <c r="L389" t="inlineStr">
        <is>
          <t>Stated</t>
        </is>
      </c>
      <c r="M389" t="inlineStr"/>
      <c r="N389" t="inlineStr">
        <is>
          <t>TUV</t>
        </is>
      </c>
      <c r="O389" t="inlineStr">
        <is>
          <t>https://www.medzell.net/company/times-medicare-systems/</t>
        </is>
      </c>
      <c r="Q389" t="n">
        <v>30</v>
      </c>
      <c r="R389">
        <f>IF(Q389="","",IF(Q389&gt;=60,"HIGH",IF(Q389&gt;=30,"MEDIUM","LOW")))</f>
        <v/>
      </c>
      <c r="S389" t="inlineStr">
        <is>
          <t>New</t>
        </is>
      </c>
      <c r="T389" t="inlineStr">
        <is>
          <t>2026-03-05</t>
        </is>
      </c>
      <c r="U389" t="inlineStr">
        <is>
          <t>Seed=Medzell; Seed-file: output/medzell_company_urls.txt</t>
        </is>
      </c>
    </row>
    <row r="390">
      <c r="A390" t="n">
        <v>389</v>
      </c>
      <c r="B390" t="inlineStr">
        <is>
          <t>Tissue Regenix – Leading Provider of Regenerative Medicine &amp; Bioengineered Tissue Solutions</t>
        </is>
      </c>
      <c r="C390" t="inlineStr"/>
      <c r="D390" t="inlineStr">
        <is>
          <t>Manufacturer</t>
        </is>
      </c>
      <c r="E390" t="inlineStr">
        <is>
          <t>PPE</t>
        </is>
      </c>
      <c r="F390" t="inlineStr">
        <is>
          <t>Wound Care, Lab Consumables, Syringes &amp; Needles, IV Infusion Sets, Gauze &amp; Bandages, Disinfectants, IV Cannulas, Catheters</t>
        </is>
      </c>
      <c r="G390" t="inlineStr"/>
      <c r="H390" t="inlineStr">
        <is>
          <t>https://www.medzell.net/main-categories-application/therapeutic-devices/</t>
        </is>
      </c>
      <c r="I390" t="inlineStr">
        <is>
          <t>n.mccarthy@tissueregenix.com</t>
        </is>
      </c>
      <c r="L390" t="inlineStr">
        <is>
          <t>Stated</t>
        </is>
      </c>
      <c r="M390" t="inlineStr"/>
      <c r="N390" t="inlineStr">
        <is>
          <t>FDA, TUV</t>
        </is>
      </c>
      <c r="O390" t="inlineStr">
        <is>
          <t>https://www.medzell.net/company/tissue-regenix-ltd/</t>
        </is>
      </c>
      <c r="Q390" t="n">
        <v>10</v>
      </c>
      <c r="R390">
        <f>IF(Q390="","",IF(Q390&gt;=60,"HIGH",IF(Q390&gt;=30,"MEDIUM","LOW")))</f>
        <v/>
      </c>
      <c r="S390" t="inlineStr">
        <is>
          <t>New</t>
        </is>
      </c>
      <c r="T390" t="inlineStr">
        <is>
          <t>2026-03-05</t>
        </is>
      </c>
      <c r="U390" t="inlineStr">
        <is>
          <t>Seed=Medzell; Seed-file: output/medzell_company_urls.txt</t>
        </is>
      </c>
    </row>
    <row r="391">
      <c r="A391" t="n">
        <v>390</v>
      </c>
      <c r="B391" t="inlineStr">
        <is>
          <t>Top Quality Group | Italian Manufacturer of Innovative Electromedical Devices</t>
        </is>
      </c>
      <c r="C391" t="inlineStr"/>
      <c r="D391" t="inlineStr">
        <is>
          <t>Manufacturer</t>
        </is>
      </c>
      <c r="E391" t="inlineStr">
        <is>
          <t>PPE</t>
        </is>
      </c>
      <c r="F391" t="inlineStr">
        <is>
          <t>Wound Care, Lab Consumables, Syringes &amp; Needles, IV Infusion Sets, Catheters, Gauze &amp; Bandages, Disinfectants, IV Cannulas</t>
        </is>
      </c>
      <c r="G391" t="inlineStr"/>
      <c r="H391" t="inlineStr">
        <is>
          <t>https://www.medzell.net/main-categories-application/therapeutic-devices/</t>
        </is>
      </c>
      <c r="I391" t="inlineStr">
        <is>
          <t>giulia.mercati@topqualitygroup.it</t>
        </is>
      </c>
      <c r="L391" t="inlineStr">
        <is>
          <t>Stated</t>
        </is>
      </c>
      <c r="M391" t="inlineStr"/>
      <c r="N391" t="inlineStr">
        <is>
          <t>TUV</t>
        </is>
      </c>
      <c r="O391" t="inlineStr">
        <is>
          <t>https://www.medzell.net/company/top-quality-group/</t>
        </is>
      </c>
      <c r="Q391" t="n">
        <v>10</v>
      </c>
      <c r="R391">
        <f>IF(Q391="","",IF(Q391&gt;=60,"HIGH",IF(Q391&gt;=30,"MEDIUM","LOW")))</f>
        <v/>
      </c>
      <c r="S391" t="inlineStr">
        <is>
          <t>New</t>
        </is>
      </c>
      <c r="T391" t="inlineStr">
        <is>
          <t>2026-03-05</t>
        </is>
      </c>
      <c r="U391" t="inlineStr">
        <is>
          <t>Seed=Medzell; Seed-file: output/medzell_company_urls.txt</t>
        </is>
      </c>
    </row>
    <row r="392">
      <c r="A392" t="n">
        <v>391</v>
      </c>
      <c r="B392" t="inlineStr">
        <is>
          <t>Medical Devices for Anesthesiology &amp; Intensive Care | Triton Electronic Systems Ltd</t>
        </is>
      </c>
      <c r="C392" t="inlineStr"/>
      <c r="D392" t="inlineStr">
        <is>
          <t>Manufacturer</t>
        </is>
      </c>
      <c r="E392" t="inlineStr">
        <is>
          <t>PPE</t>
        </is>
      </c>
      <c r="F392" t="inlineStr">
        <is>
          <t>Wound Care, Lab Consumables, Syringes &amp; Needles, IV Infusion Sets, Gauze &amp; Bandages, Disinfectants, IV Cannulas, Catheters</t>
        </is>
      </c>
      <c r="G392" t="inlineStr"/>
      <c r="H392" t="inlineStr">
        <is>
          <t>https://www.medzell.net/main-categories-application/therapeutic-devices/</t>
        </is>
      </c>
      <c r="I392" t="inlineStr">
        <is>
          <t>zueva@treat-on.com</t>
        </is>
      </c>
      <c r="L392" t="inlineStr">
        <is>
          <t>Stated</t>
        </is>
      </c>
      <c r="M392" t="inlineStr"/>
      <c r="N392" t="inlineStr">
        <is>
          <t>TUV</t>
        </is>
      </c>
      <c r="O392" t="inlineStr">
        <is>
          <t>https://www.medzell.net/company/treaton-electronic-systems-ltd/</t>
        </is>
      </c>
      <c r="Q392" t="n">
        <v>10</v>
      </c>
      <c r="R392">
        <f>IF(Q392="","",IF(Q392&gt;=60,"HIGH",IF(Q392&gt;=30,"MEDIUM","LOW")))</f>
        <v/>
      </c>
      <c r="S392" t="inlineStr">
        <is>
          <t>New</t>
        </is>
      </c>
      <c r="T392" t="inlineStr">
        <is>
          <t>2026-03-05</t>
        </is>
      </c>
      <c r="U392" t="inlineStr">
        <is>
          <t>Seed=Medzell; Seed-file: output/medzell_company_urls.txt</t>
        </is>
      </c>
    </row>
    <row r="393">
      <c r="A393" t="n">
        <v>392</v>
      </c>
      <c r="B393" t="inlineStr">
        <is>
          <t>Ultrasonic Cleaning Machines for Laparoscopes &amp; Surgical Instruments</t>
        </is>
      </c>
      <c r="C393" t="inlineStr"/>
      <c r="D393" t="inlineStr">
        <is>
          <t>Manufacturer</t>
        </is>
      </c>
      <c r="E393" t="inlineStr">
        <is>
          <t>PPE</t>
        </is>
      </c>
      <c r="F393" t="inlineStr">
        <is>
          <t>Wound Care, Lab Consumables, Syringes &amp; Needles, IV Infusion Sets, Gauze &amp; Bandages, Disinfectants, IV Cannulas, Catheters</t>
        </is>
      </c>
      <c r="G393" t="inlineStr"/>
      <c r="H393" t="inlineStr">
        <is>
          <t>https://www.medzell.net/main-categories-application/therapeutic-devices/</t>
        </is>
      </c>
      <c r="I393" t="inlineStr">
        <is>
          <t>ultriopurchase@gmail.com</t>
        </is>
      </c>
      <c r="L393" t="inlineStr"/>
      <c r="M393" t="inlineStr"/>
      <c r="N393" t="inlineStr">
        <is>
          <t>TUV</t>
        </is>
      </c>
      <c r="O393" t="inlineStr">
        <is>
          <t>https://www.medzell.net/company/trio-vibe-sonic/</t>
        </is>
      </c>
      <c r="Q393" t="n">
        <v>45</v>
      </c>
      <c r="R393">
        <f>IF(Q393="","",IF(Q393&gt;=60,"HIGH",IF(Q393&gt;=30,"MEDIUM","LOW")))</f>
        <v/>
      </c>
      <c r="S393" t="inlineStr">
        <is>
          <t>New</t>
        </is>
      </c>
      <c r="T393" t="inlineStr">
        <is>
          <t>2026-03-05</t>
        </is>
      </c>
      <c r="U393" t="inlineStr">
        <is>
          <t>Seed=Medzell; Seed-file: output/medzell_company_urls.txt</t>
        </is>
      </c>
    </row>
    <row r="394">
      <c r="A394" t="n">
        <v>393</v>
      </c>
      <c r="B394" t="inlineStr">
        <is>
          <t>Trivitron Healthcare: Affordable Medical Equipment Manufacturer &amp; Supplier</t>
        </is>
      </c>
      <c r="C394" t="inlineStr"/>
      <c r="D394" t="inlineStr">
        <is>
          <t>Manufacturer</t>
        </is>
      </c>
      <c r="E394" t="inlineStr">
        <is>
          <t>PPE</t>
        </is>
      </c>
      <c r="F394" t="inlineStr">
        <is>
          <t>Wound Care, Lab Consumables, Syringes &amp; Needles, IV Infusion Sets, Catheters, Gauze &amp; Bandages, Disinfectants, IV Cannulas</t>
        </is>
      </c>
      <c r="G394" t="inlineStr"/>
      <c r="H394" t="inlineStr">
        <is>
          <t>https://www.medzell.net/main-categories-application/therapeutic-devices/</t>
        </is>
      </c>
      <c r="I394" t="inlineStr">
        <is>
          <t>pradhnya.meshram@trivitron.com</t>
        </is>
      </c>
      <c r="L394" t="inlineStr">
        <is>
          <t>Stated</t>
        </is>
      </c>
      <c r="M394" t="inlineStr">
        <is>
          <t>Stated</t>
        </is>
      </c>
      <c r="N394" t="inlineStr">
        <is>
          <t>FDA, TUV</t>
        </is>
      </c>
      <c r="O394" t="inlineStr">
        <is>
          <t>https://www.medzell.net/company/trivitron-healthcare/</t>
        </is>
      </c>
      <c r="Q394" t="n">
        <v>0</v>
      </c>
      <c r="R394">
        <f>IF(Q394="","",IF(Q394&gt;=60,"HIGH",IF(Q394&gt;=30,"MEDIUM","LOW")))</f>
        <v/>
      </c>
      <c r="S394" t="inlineStr">
        <is>
          <t>New</t>
        </is>
      </c>
      <c r="T394" t="inlineStr">
        <is>
          <t>2026-03-05</t>
        </is>
      </c>
      <c r="U394" t="inlineStr">
        <is>
          <t>Seed=Medzell; Seed-file: output/medzell_company_urls.txt</t>
        </is>
      </c>
    </row>
    <row r="395">
      <c r="A395" t="n">
        <v>394</v>
      </c>
      <c r="B395" t="inlineStr">
        <is>
          <t>Trulife | Innovating Breastcare, Prosthetics, Orthotics &amp; Pressure Care Solutions</t>
        </is>
      </c>
      <c r="C395" t="inlineStr"/>
      <c r="D395" t="inlineStr">
        <is>
          <t>Manufacturer</t>
        </is>
      </c>
      <c r="E395" t="inlineStr">
        <is>
          <t>PPE</t>
        </is>
      </c>
      <c r="F395" t="inlineStr">
        <is>
          <t>Wound Care, Lab Consumables, Syringes &amp; Needles, IV Infusion Sets, Gauze &amp; Bandages, Disinfectants, IV Cannulas, Catheters</t>
        </is>
      </c>
      <c r="G395" t="inlineStr"/>
      <c r="H395" t="inlineStr">
        <is>
          <t>https://www.medzell.net/main-categories-application/therapeutic-devices/</t>
        </is>
      </c>
      <c r="I395" t="inlineStr">
        <is>
          <t>rdacosta@trulife.com</t>
        </is>
      </c>
      <c r="L395" t="inlineStr">
        <is>
          <t>Stated</t>
        </is>
      </c>
      <c r="M395" t="inlineStr"/>
      <c r="N395" t="inlineStr">
        <is>
          <t>TUV</t>
        </is>
      </c>
      <c r="O395" t="inlineStr">
        <is>
          <t>https://www.medzell.net/company/trulife/</t>
        </is>
      </c>
      <c r="Q395" t="n">
        <v>10</v>
      </c>
      <c r="R395">
        <f>IF(Q395="","",IF(Q395&gt;=60,"HIGH",IF(Q395&gt;=30,"MEDIUM","LOW")))</f>
        <v/>
      </c>
      <c r="S395" t="inlineStr">
        <is>
          <t>New</t>
        </is>
      </c>
      <c r="T395" t="inlineStr">
        <is>
          <t>2026-03-05</t>
        </is>
      </c>
      <c r="U395" t="inlineStr">
        <is>
          <t>Seed=Medzell; Seed-file: output/medzell_company_urls.txt</t>
        </is>
      </c>
    </row>
    <row r="396">
      <c r="A396" t="n">
        <v>395</v>
      </c>
      <c r="B396" t="inlineStr">
        <is>
          <t>Tulip Diagnostics: Leading Manufacturer of Diagnostic IVD Devices in India</t>
        </is>
      </c>
      <c r="C396" t="inlineStr"/>
      <c r="D396" t="inlineStr">
        <is>
          <t>Manufacturer</t>
        </is>
      </c>
      <c r="E396" t="inlineStr">
        <is>
          <t>PPE</t>
        </is>
      </c>
      <c r="F396" t="inlineStr">
        <is>
          <t>Wound Care, Disinfectants, Lab Consumables, Syringes &amp; Needles, IV Infusion Sets, Gauze &amp; Bandages, IV Cannulas, Catheters</t>
        </is>
      </c>
      <c r="G396" t="inlineStr"/>
      <c r="H396" t="inlineStr">
        <is>
          <t>https://www.medzell.net/main-categories-application/therapeutic-devices/</t>
        </is>
      </c>
      <c r="I396" t="inlineStr">
        <is>
          <t>macelon.pereira@tulipgroup.com</t>
        </is>
      </c>
      <c r="L396" t="inlineStr">
        <is>
          <t>Stated</t>
        </is>
      </c>
      <c r="M396" t="inlineStr">
        <is>
          <t>Stated</t>
        </is>
      </c>
      <c r="N396" t="inlineStr">
        <is>
          <t>GMP, TUV</t>
        </is>
      </c>
      <c r="O396" t="inlineStr">
        <is>
          <t>https://www.medzell.net/company/tulip-diagnostics-p-ltd/</t>
        </is>
      </c>
      <c r="Q396" t="n">
        <v>0</v>
      </c>
      <c r="R396">
        <f>IF(Q396="","",IF(Q396&gt;=60,"HIGH",IF(Q396&gt;=30,"MEDIUM","LOW")))</f>
        <v/>
      </c>
      <c r="S396" t="inlineStr">
        <is>
          <t>New</t>
        </is>
      </c>
      <c r="T396" t="inlineStr">
        <is>
          <t>2026-03-05</t>
        </is>
      </c>
      <c r="U396" t="inlineStr">
        <is>
          <t>Seed=Medzell; Seed-file: output/medzell_company_urls.txt</t>
        </is>
      </c>
    </row>
    <row r="397">
      <c r="A397" t="n">
        <v>396</v>
      </c>
      <c r="B397" t="inlineStr">
        <is>
          <t>TZMO Group – Innovating Healthcare, Hygiene &amp; Medical Solutions Worldwide</t>
        </is>
      </c>
      <c r="C397" t="inlineStr"/>
      <c r="D397" t="inlineStr">
        <is>
          <t>Manufacturer</t>
        </is>
      </c>
      <c r="E397" t="inlineStr">
        <is>
          <t>Wound Care</t>
        </is>
      </c>
      <c r="F397" t="inlineStr">
        <is>
          <t>PPE, Gauze &amp; Bandages, Lab Consumables, Syringes &amp; Needles, IV Infusion Sets, Disinfectants, IV Cannulas, Catheters</t>
        </is>
      </c>
      <c r="G397" t="inlineStr"/>
      <c r="H397" t="inlineStr">
        <is>
          <t>https://www.medzell.net/main-categories-application/therapeutic-devices/</t>
        </is>
      </c>
      <c r="I397" t="inlineStr">
        <is>
          <t>daniel.singh@tzmo-global.com</t>
        </is>
      </c>
      <c r="L397" t="inlineStr">
        <is>
          <t>Stated</t>
        </is>
      </c>
      <c r="M397" t="inlineStr"/>
      <c r="N397" t="inlineStr">
        <is>
          <t>TUV</t>
        </is>
      </c>
      <c r="O397" t="inlineStr">
        <is>
          <t>https://www.medzell.net/company/tzmo-group/</t>
        </is>
      </c>
      <c r="Q397" t="n">
        <v>10</v>
      </c>
      <c r="R397">
        <f>IF(Q397="","",IF(Q397&gt;=60,"HIGH",IF(Q397&gt;=30,"MEDIUM","LOW")))</f>
        <v/>
      </c>
      <c r="S397" t="inlineStr">
        <is>
          <t>New</t>
        </is>
      </c>
      <c r="T397" t="inlineStr">
        <is>
          <t>2026-03-05</t>
        </is>
      </c>
      <c r="U397" t="inlineStr">
        <is>
          <t>Seed=Medzell; Seed-file: output/medzell_company_urls.txt</t>
        </is>
      </c>
    </row>
    <row r="398">
      <c r="A398" t="n">
        <v>397</v>
      </c>
      <c r="B398" t="inlineStr">
        <is>
          <t>Ucomfor Scientific Co., Ltd.: Leading Manufacturer of Sterile Enteral Feeding and Disposable Medical Devices</t>
        </is>
      </c>
      <c r="C398" t="inlineStr"/>
      <c r="D398" t="inlineStr">
        <is>
          <t>Manufacturer</t>
        </is>
      </c>
      <c r="E398" t="inlineStr">
        <is>
          <t>PPE</t>
        </is>
      </c>
      <c r="F398" t="inlineStr">
        <is>
          <t>Wound Care, Lab Consumables, Syringes &amp; Needles, IV Infusion Sets, Gauze &amp; Bandages, Disinfectants, IV Cannulas, Catheters</t>
        </is>
      </c>
      <c r="G398" t="inlineStr"/>
      <c r="H398" t="inlineStr">
        <is>
          <t>https://www.medzell.net/main-categories-application/therapeutic-devices/</t>
        </is>
      </c>
      <c r="I398" t="inlineStr">
        <is>
          <t>louis.he@ucomfor.com</t>
        </is>
      </c>
      <c r="L398" t="inlineStr"/>
      <c r="M398" t="inlineStr"/>
      <c r="N398" t="inlineStr">
        <is>
          <t>TUV</t>
        </is>
      </c>
      <c r="O398" t="inlineStr">
        <is>
          <t>https://www.medzell.net/company/ucomfor-scientific-co-ltd/</t>
        </is>
      </c>
      <c r="Q398" t="n">
        <v>25</v>
      </c>
      <c r="R398">
        <f>IF(Q398="","",IF(Q398&gt;=60,"HIGH",IF(Q398&gt;=30,"MEDIUM","LOW")))</f>
        <v/>
      </c>
      <c r="S398" t="inlineStr">
        <is>
          <t>New</t>
        </is>
      </c>
      <c r="T398" t="inlineStr">
        <is>
          <t>2026-03-05</t>
        </is>
      </c>
      <c r="U398" t="inlineStr">
        <is>
          <t>Seed=Medzell; Seed-file: output/medzell_company_urls.txt</t>
        </is>
      </c>
    </row>
    <row r="399">
      <c r="A399" t="n">
        <v>398</v>
      </c>
      <c r="B399" t="inlineStr">
        <is>
          <t>Innovating Excellence: Pioneering Histopathology Solutions and Precision Laboratory Instruments by Unimeditrek Private Limited</t>
        </is>
      </c>
      <c r="C399" t="inlineStr"/>
      <c r="D399" t="inlineStr">
        <is>
          <t>Manufacturer</t>
        </is>
      </c>
      <c r="E399" t="inlineStr">
        <is>
          <t>PPE</t>
        </is>
      </c>
      <c r="F399" t="inlineStr">
        <is>
          <t>Wound Care, Lab Consumables, Syringes &amp; Needles, IV Infusion Sets, Gauze &amp; Bandages, Disinfectants, IV Cannulas, Catheters</t>
        </is>
      </c>
      <c r="G399" t="inlineStr"/>
      <c r="H399" t="inlineStr">
        <is>
          <t>https://www.medzell.net/main-categories-application/therapeutic-devices/</t>
        </is>
      </c>
      <c r="I399" t="inlineStr">
        <is>
          <t>sales@unimeditrek.com</t>
        </is>
      </c>
      <c r="L399" t="inlineStr"/>
      <c r="M399" t="inlineStr"/>
      <c r="N399" t="inlineStr">
        <is>
          <t>TUV</t>
        </is>
      </c>
      <c r="O399" t="inlineStr">
        <is>
          <t>https://www.medzell.net/company/unimeditrek-private-limited/</t>
        </is>
      </c>
      <c r="Q399" t="n">
        <v>25</v>
      </c>
      <c r="R399">
        <f>IF(Q399="","",IF(Q399&gt;=60,"HIGH",IF(Q399&gt;=30,"MEDIUM","LOW")))</f>
        <v/>
      </c>
      <c r="S399" t="inlineStr">
        <is>
          <t>New</t>
        </is>
      </c>
      <c r="T399" t="inlineStr">
        <is>
          <t>2026-03-05</t>
        </is>
      </c>
      <c r="U399" t="inlineStr">
        <is>
          <t>Seed=Medzell; Seed-file: output/medzell_company_urls.txt</t>
        </is>
      </c>
    </row>
    <row r="400">
      <c r="A400" t="n">
        <v>399</v>
      </c>
      <c r="B400" t="inlineStr">
        <is>
          <t>Leading Manufacturer of Surgical Sutures, Mesh, and Medical Devices - Unisur Lifecare Pvt. Ltd.</t>
        </is>
      </c>
      <c r="C400" t="inlineStr"/>
      <c r="D400" t="inlineStr">
        <is>
          <t>Manufacturer</t>
        </is>
      </c>
      <c r="E400" t="inlineStr">
        <is>
          <t>PPE</t>
        </is>
      </c>
      <c r="F400" t="inlineStr">
        <is>
          <t>Wound Care, Lab Consumables, Syringes &amp; Needles, IV Infusion Sets, Gauze &amp; Bandages, Disinfectants, IV Cannulas, Catheters</t>
        </is>
      </c>
      <c r="G400" t="inlineStr"/>
      <c r="H400" t="inlineStr">
        <is>
          <t>https://www.medzell.net/main-categories-application/therapeutic-devices/</t>
        </is>
      </c>
      <c r="I400" t="inlineStr">
        <is>
          <t>jancy@universalsutures.com</t>
        </is>
      </c>
      <c r="L400" t="inlineStr">
        <is>
          <t>Stated</t>
        </is>
      </c>
      <c r="M400" t="inlineStr">
        <is>
          <t>Stated</t>
        </is>
      </c>
      <c r="N400" t="inlineStr">
        <is>
          <t>GMP, TUV</t>
        </is>
      </c>
      <c r="O400" t="inlineStr">
        <is>
          <t>https://www.medzell.net/company/universal-lifecare-pvt-ltd/</t>
        </is>
      </c>
      <c r="Q400" t="n">
        <v>0</v>
      </c>
      <c r="R400">
        <f>IF(Q400="","",IF(Q400&gt;=60,"HIGH",IF(Q400&gt;=30,"MEDIUM","LOW")))</f>
        <v/>
      </c>
      <c r="S400" t="inlineStr">
        <is>
          <t>New</t>
        </is>
      </c>
      <c r="T400" t="inlineStr">
        <is>
          <t>2026-03-05</t>
        </is>
      </c>
      <c r="U400" t="inlineStr">
        <is>
          <t>Seed=Medzell; Seed-file: output/medzell_company_urls.txt</t>
        </is>
      </c>
    </row>
    <row r="401">
      <c r="A401" t="n">
        <v>400</v>
      </c>
      <c r="B401" t="inlineStr">
        <is>
          <t>UP Pharmaceuticals: High Quality Medical Consumable Manufacturer</t>
        </is>
      </c>
      <c r="C401" t="inlineStr"/>
      <c r="D401" t="inlineStr">
        <is>
          <t>Manufacturer</t>
        </is>
      </c>
      <c r="E401" t="inlineStr">
        <is>
          <t>PPE</t>
        </is>
      </c>
      <c r="F401" t="inlineStr">
        <is>
          <t>Wound Care, Lab Consumables, Syringes &amp; Needles, IV Infusion Sets, Gauze &amp; Bandages, Disinfectants, IV Cannulas, Catheters</t>
        </is>
      </c>
      <c r="G401" t="inlineStr"/>
      <c r="H401" t="inlineStr">
        <is>
          <t>https://www.medzell.net/main-categories-application/therapeutic-devices/</t>
        </is>
      </c>
      <c r="I401" t="inlineStr">
        <is>
          <t>info@uppharmaceuticals.com</t>
        </is>
      </c>
      <c r="L401" t="inlineStr">
        <is>
          <t>Stated</t>
        </is>
      </c>
      <c r="M401" t="inlineStr"/>
      <c r="N401" t="inlineStr">
        <is>
          <t>TUV</t>
        </is>
      </c>
      <c r="O401" t="inlineStr">
        <is>
          <t>https://www.medzell.net/company/up-pharmaceuticals/</t>
        </is>
      </c>
      <c r="Q401" t="n">
        <v>10</v>
      </c>
      <c r="R401">
        <f>IF(Q401="","",IF(Q401&gt;=60,"HIGH",IF(Q401&gt;=30,"MEDIUM","LOW")))</f>
        <v/>
      </c>
      <c r="S401" t="inlineStr">
        <is>
          <t>New</t>
        </is>
      </c>
      <c r="T401" t="inlineStr">
        <is>
          <t>2026-03-05</t>
        </is>
      </c>
      <c r="U401" t="inlineStr">
        <is>
          <t>Seed=Medzell; Seed-file: output/medzell_company_urls.txt</t>
        </is>
      </c>
    </row>
    <row r="402">
      <c r="A402" t="n">
        <v>401</v>
      </c>
      <c r="B402" t="inlineStr">
        <is>
          <t>Urotech Devices – Advancing Endoscopic &amp; Urology Surgical Solutions</t>
        </is>
      </c>
      <c r="C402" t="inlineStr"/>
      <c r="D402" t="inlineStr">
        <is>
          <t>Manufacturer</t>
        </is>
      </c>
      <c r="E402" t="inlineStr">
        <is>
          <t>PPE</t>
        </is>
      </c>
      <c r="F402" t="inlineStr">
        <is>
          <t>Wound Care, Lab Consumables, Syringes &amp; Needles, IV Infusion Sets, Catheters, Gauze &amp; Bandages, Disinfectants, IV Cannulas</t>
        </is>
      </c>
      <c r="G402" t="inlineStr"/>
      <c r="H402" t="inlineStr">
        <is>
          <t>https://www.medzell.net/main-categories-application/therapeutic-devices/</t>
        </is>
      </c>
      <c r="I402" t="inlineStr">
        <is>
          <t>info@urotechdevices.com</t>
        </is>
      </c>
      <c r="L402" t="inlineStr">
        <is>
          <t>Stated</t>
        </is>
      </c>
      <c r="M402" t="inlineStr"/>
      <c r="N402" t="inlineStr">
        <is>
          <t>TUV</t>
        </is>
      </c>
      <c r="O402" t="inlineStr">
        <is>
          <t>https://www.medzell.net/company/urotech-devices/</t>
        </is>
      </c>
      <c r="Q402" t="n">
        <v>10</v>
      </c>
      <c r="R402">
        <f>IF(Q402="","",IF(Q402&gt;=60,"HIGH",IF(Q402&gt;=30,"MEDIUM","LOW")))</f>
        <v/>
      </c>
      <c r="S402" t="inlineStr">
        <is>
          <t>New</t>
        </is>
      </c>
      <c r="T402" t="inlineStr">
        <is>
          <t>2026-03-05</t>
        </is>
      </c>
      <c r="U402" t="inlineStr">
        <is>
          <t>Seed=Medzell; Seed-file: output/medzell_company_urls.txt</t>
        </is>
      </c>
    </row>
    <row r="403">
      <c r="A403" t="n">
        <v>402</v>
      </c>
      <c r="B403" t="inlineStr">
        <is>
          <t>Innovative Urology &amp; Gynecology Devices Supplier in Netherlands</t>
        </is>
      </c>
      <c r="C403" t="inlineStr"/>
      <c r="D403" t="inlineStr">
        <is>
          <t>Manufacturer</t>
        </is>
      </c>
      <c r="E403" t="inlineStr">
        <is>
          <t>PPE</t>
        </is>
      </c>
      <c r="F403" t="inlineStr">
        <is>
          <t>Wound Care, Lab Consumables, Syringes &amp; Needles, IV Infusion Sets, Catheters, Gauze &amp; Bandages, Disinfectants, IV Cannulas</t>
        </is>
      </c>
      <c r="G403" t="inlineStr"/>
      <c r="H403" t="inlineStr">
        <is>
          <t>https://www.medzell.net/main-categories-application/therapeutic-devices/</t>
        </is>
      </c>
      <c r="I403" t="inlineStr">
        <is>
          <t>aufenacker@urotex.nl</t>
        </is>
      </c>
      <c r="L403" t="inlineStr">
        <is>
          <t>Stated</t>
        </is>
      </c>
      <c r="M403" t="inlineStr"/>
      <c r="N403" t="inlineStr">
        <is>
          <t>TUV</t>
        </is>
      </c>
      <c r="O403" t="inlineStr">
        <is>
          <t>https://www.medzell.net/company/urotex-medical-netherlands/</t>
        </is>
      </c>
      <c r="Q403" t="n">
        <v>10</v>
      </c>
      <c r="R403">
        <f>IF(Q403="","",IF(Q403&gt;=60,"HIGH",IF(Q403&gt;=30,"MEDIUM","LOW")))</f>
        <v/>
      </c>
      <c r="S403" t="inlineStr">
        <is>
          <t>New</t>
        </is>
      </c>
      <c r="T403" t="inlineStr">
        <is>
          <t>2026-03-05</t>
        </is>
      </c>
      <c r="U403" t="inlineStr">
        <is>
          <t>Seed=Medzell; Seed-file: output/medzell_company_urls.txt</t>
        </is>
      </c>
    </row>
    <row r="404">
      <c r="A404" t="n">
        <v>403</v>
      </c>
      <c r="B404" t="inlineStr">
        <is>
          <t>V. K. Endoscope Pvt. Ltd. – Precision Endoscopic &amp; Laparoscopic Instruments for Global Healthcare</t>
        </is>
      </c>
      <c r="C404" t="inlineStr"/>
      <c r="D404" t="inlineStr">
        <is>
          <t>Manufacturer</t>
        </is>
      </c>
      <c r="E404" t="inlineStr">
        <is>
          <t>PPE</t>
        </is>
      </c>
      <c r="F404" t="inlineStr">
        <is>
          <t>Wound Care, Lab Consumables, Syringes &amp; Needles, IV Infusion Sets, Catheters, Gauze &amp; Bandages, Disinfectants, IV Cannulas</t>
        </is>
      </c>
      <c r="G404" t="inlineStr"/>
      <c r="H404" t="inlineStr">
        <is>
          <t>https://www.medzell.net/main-categories-application/therapeutic-devices/</t>
        </is>
      </c>
      <c r="I404" t="inlineStr">
        <is>
          <t>vkendoscope.07@gmail.com</t>
        </is>
      </c>
      <c r="L404" t="inlineStr">
        <is>
          <t>Stated</t>
        </is>
      </c>
      <c r="M404" t="inlineStr"/>
      <c r="N404" t="inlineStr">
        <is>
          <t>TUV</t>
        </is>
      </c>
      <c r="O404" t="inlineStr">
        <is>
          <t>https://www.medzell.net/company/v-k-endoscope-pvt-ltd/</t>
        </is>
      </c>
      <c r="Q404" t="n">
        <v>30</v>
      </c>
      <c r="R404">
        <f>IF(Q404="","",IF(Q404&gt;=60,"HIGH",IF(Q404&gt;=30,"MEDIUM","LOW")))</f>
        <v/>
      </c>
      <c r="S404" t="inlineStr">
        <is>
          <t>New</t>
        </is>
      </c>
      <c r="T404" t="inlineStr">
        <is>
          <t>2026-03-05</t>
        </is>
      </c>
      <c r="U404" t="inlineStr">
        <is>
          <t>Seed=Medzell; Seed-file: output/medzell_company_urls.txt</t>
        </is>
      </c>
    </row>
    <row r="405">
      <c r="A405" t="n">
        <v>404</v>
      </c>
      <c r="B405" t="inlineStr">
        <is>
          <t>Top-Quality Surgical Equipment Manufacturer - Vactech Surgical Equipment</t>
        </is>
      </c>
      <c r="C405" t="inlineStr"/>
      <c r="D405" t="inlineStr">
        <is>
          <t>Manufacturer</t>
        </is>
      </c>
      <c r="E405" t="inlineStr">
        <is>
          <t>PPE</t>
        </is>
      </c>
      <c r="F405" t="inlineStr">
        <is>
          <t>Wound Care, Lab Consumables, Syringes &amp; Needles, IV Infusion Sets, Gauze &amp; Bandages, Disinfectants, IV Cannulas, Catheters</t>
        </is>
      </c>
      <c r="G405" t="inlineStr"/>
      <c r="H405" t="inlineStr">
        <is>
          <t>https://www.medzell.net/main-categories-application/therapeutic-devices/</t>
        </is>
      </c>
      <c r="I405" t="inlineStr">
        <is>
          <t>vactechindia@hotmail.com</t>
        </is>
      </c>
      <c r="L405" t="inlineStr">
        <is>
          <t>Stated</t>
        </is>
      </c>
      <c r="M405" t="inlineStr"/>
      <c r="N405" t="inlineStr">
        <is>
          <t>TUV</t>
        </is>
      </c>
      <c r="O405" t="inlineStr">
        <is>
          <t>https://www.medzell.net/company/vactech-surgical-equipment/</t>
        </is>
      </c>
      <c r="Q405" t="n">
        <v>30</v>
      </c>
      <c r="R405">
        <f>IF(Q405="","",IF(Q405&gt;=60,"HIGH",IF(Q405&gt;=30,"MEDIUM","LOW")))</f>
        <v/>
      </c>
      <c r="S405" t="inlineStr">
        <is>
          <t>New</t>
        </is>
      </c>
      <c r="T405" t="inlineStr">
        <is>
          <t>2026-03-05</t>
        </is>
      </c>
      <c r="U405" t="inlineStr">
        <is>
          <t>Seed=Medzell; Seed-file: output/medzell_company_urls.txt</t>
        </is>
      </c>
    </row>
    <row r="406">
      <c r="A406" t="n">
        <v>405</v>
      </c>
      <c r="B406" t="inlineStr">
        <is>
          <t>Vatech | Global Leader in X-ray Imaging &amp; Dental Diagnostics</t>
        </is>
      </c>
      <c r="C406" t="inlineStr"/>
      <c r="D406" t="inlineStr">
        <is>
          <t>Manufacturer</t>
        </is>
      </c>
      <c r="E406" t="inlineStr">
        <is>
          <t>PPE</t>
        </is>
      </c>
      <c r="F406" t="inlineStr">
        <is>
          <t>Wound Care, Lab Consumables, Syringes &amp; Needles, IV Infusion Sets, Gauze &amp; Bandages, Disinfectants, IV Cannulas, Catheters</t>
        </is>
      </c>
      <c r="G406" t="inlineStr"/>
      <c r="H406" t="inlineStr">
        <is>
          <t>https://www.medzell.net/main-categories-application/therapeutic-devices/</t>
        </is>
      </c>
      <c r="I406" t="inlineStr">
        <is>
          <t>samuel.ahn@vatech.com</t>
        </is>
      </c>
      <c r="L406" t="inlineStr"/>
      <c r="M406" t="inlineStr"/>
      <c r="N406" t="inlineStr">
        <is>
          <t>TUV</t>
        </is>
      </c>
      <c r="O406" t="inlineStr">
        <is>
          <t>https://www.medzell.net/company/vatech/</t>
        </is>
      </c>
      <c r="Q406" t="n">
        <v>25</v>
      </c>
      <c r="R406">
        <f>IF(Q406="","",IF(Q406&gt;=60,"HIGH",IF(Q406&gt;=30,"MEDIUM","LOW")))</f>
        <v/>
      </c>
      <c r="S406" t="inlineStr">
        <is>
          <t>New</t>
        </is>
      </c>
      <c r="T406" t="inlineStr">
        <is>
          <t>2026-03-05</t>
        </is>
      </c>
      <c r="U406" t="inlineStr">
        <is>
          <t>Seed=Medzell; Seed-file: output/medzell_company_urls.txt</t>
        </is>
      </c>
    </row>
    <row r="407">
      <c r="A407" t="n">
        <v>406</v>
      </c>
      <c r="B407" t="inlineStr">
        <is>
          <t>VD Bio Medisystems: Top-grade ECG, Oximeters, Monitors &amp; Medical Equipment Manufacturer</t>
        </is>
      </c>
      <c r="C407" t="inlineStr"/>
      <c r="D407" t="inlineStr">
        <is>
          <t>Manufacturer</t>
        </is>
      </c>
      <c r="E407" t="inlineStr">
        <is>
          <t>PPE</t>
        </is>
      </c>
      <c r="F407" t="inlineStr">
        <is>
          <t>Wound Care, Lab Consumables, Syringes &amp; Needles, IV Infusion Sets, Gauze &amp; Bandages, Disinfectants, IV Cannulas, Catheters</t>
        </is>
      </c>
      <c r="G407" t="inlineStr"/>
      <c r="H407" t="inlineStr">
        <is>
          <t>https://www.medzell.net/main-categories-application/therapeutic-devices/</t>
        </is>
      </c>
      <c r="I407" t="inlineStr">
        <is>
          <t>vdbiomedisystems@gmail.com</t>
        </is>
      </c>
      <c r="L407" t="inlineStr"/>
      <c r="M407" t="inlineStr"/>
      <c r="N407" t="inlineStr">
        <is>
          <t>TUV</t>
        </is>
      </c>
      <c r="O407" t="inlineStr">
        <is>
          <t>https://www.medzell.net/company/vd-bio-medisystems/</t>
        </is>
      </c>
      <c r="Q407" t="n">
        <v>45</v>
      </c>
      <c r="R407">
        <f>IF(Q407="","",IF(Q407&gt;=60,"HIGH",IF(Q407&gt;=30,"MEDIUM","LOW")))</f>
        <v/>
      </c>
      <c r="S407" t="inlineStr">
        <is>
          <t>New</t>
        </is>
      </c>
      <c r="T407" t="inlineStr">
        <is>
          <t>2026-03-05</t>
        </is>
      </c>
      <c r="U407" t="inlineStr">
        <is>
          <t>Seed=Medzell; Seed-file: output/medzell_company_urls.txt</t>
        </is>
      </c>
    </row>
    <row r="408">
      <c r="A408" t="n">
        <v>407</v>
      </c>
      <c r="B408" t="inlineStr">
        <is>
          <t>Vedika Surgical: Leading Supplier of Laparoscopy Devices &amp; Surgical Equipment</t>
        </is>
      </c>
      <c r="C408" t="inlineStr"/>
      <c r="D408" t="inlineStr">
        <is>
          <t>Manufacturer</t>
        </is>
      </c>
      <c r="E408" t="inlineStr">
        <is>
          <t>PPE</t>
        </is>
      </c>
      <c r="F408" t="inlineStr">
        <is>
          <t>Wound Care, Lab Consumables, Syringes &amp; Needles, IV Infusion Sets, Gauze &amp; Bandages, Disinfectants, IV Cannulas, Catheters</t>
        </is>
      </c>
      <c r="G408" t="inlineStr"/>
      <c r="H408" t="inlineStr">
        <is>
          <t>https://www.medzell.net/main-categories-application/therapeutic-devices/</t>
        </is>
      </c>
      <c r="I408" t="inlineStr">
        <is>
          <t>vedikasurgical15@gmail.com</t>
        </is>
      </c>
      <c r="L408" t="inlineStr"/>
      <c r="M408" t="inlineStr"/>
      <c r="N408" t="inlineStr">
        <is>
          <t>TUV</t>
        </is>
      </c>
      <c r="O408" t="inlineStr">
        <is>
          <t>https://www.medzell.net/company/vedika-surgical/</t>
        </is>
      </c>
      <c r="Q408" t="n">
        <v>45</v>
      </c>
      <c r="R408">
        <f>IF(Q408="","",IF(Q408&gt;=60,"HIGH",IF(Q408&gt;=30,"MEDIUM","LOW")))</f>
        <v/>
      </c>
      <c r="S408" t="inlineStr">
        <is>
          <t>New</t>
        </is>
      </c>
      <c r="T408" t="inlineStr">
        <is>
          <t>2026-03-05</t>
        </is>
      </c>
      <c r="U408" t="inlineStr">
        <is>
          <t>Seed=Medzell; Seed-file: output/medzell_company_urls.txt</t>
        </is>
      </c>
    </row>
    <row r="409">
      <c r="A409" t="n">
        <v>408</v>
      </c>
      <c r="B409" t="inlineStr">
        <is>
          <t>Respiratory Solutions Provider in India - Ventox Healthcare LLP</t>
        </is>
      </c>
      <c r="C409" t="inlineStr"/>
      <c r="D409" t="inlineStr">
        <is>
          <t>Manufacturer</t>
        </is>
      </c>
      <c r="E409" t="inlineStr">
        <is>
          <t>PPE</t>
        </is>
      </c>
      <c r="F409" t="inlineStr">
        <is>
          <t>Wound Care, Lab Consumables, Syringes &amp; Needles, IV Infusion Sets, Gauze &amp; Bandages, Disinfectants, IV Cannulas, Catheters</t>
        </is>
      </c>
      <c r="G409" t="inlineStr"/>
      <c r="H409" t="inlineStr">
        <is>
          <t>https://www.medzell.net/main-categories-application/therapeutic-devices/</t>
        </is>
      </c>
      <c r="I409" t="inlineStr">
        <is>
          <t>gautam@ventoxhealthcare.com</t>
        </is>
      </c>
      <c r="L409" t="inlineStr"/>
      <c r="M409" t="inlineStr"/>
      <c r="N409" t="inlineStr">
        <is>
          <t>TUV</t>
        </is>
      </c>
      <c r="O409" t="inlineStr">
        <is>
          <t>https://www.medzell.net/company/ventox-healthcare-llp/</t>
        </is>
      </c>
      <c r="Q409" t="n">
        <v>25</v>
      </c>
      <c r="R409">
        <f>IF(Q409="","",IF(Q409&gt;=60,"HIGH",IF(Q409&gt;=30,"MEDIUM","LOW")))</f>
        <v/>
      </c>
      <c r="S409" t="inlineStr">
        <is>
          <t>New</t>
        </is>
      </c>
      <c r="T409" t="inlineStr">
        <is>
          <t>2026-03-05</t>
        </is>
      </c>
      <c r="U409" t="inlineStr">
        <is>
          <t>Seed=Medzell; Seed-file: output/medzell_company_urls.txt</t>
        </is>
      </c>
    </row>
    <row r="410">
      <c r="A410" t="n">
        <v>409</v>
      </c>
      <c r="B410" t="inlineStr">
        <is>
          <t>Quality Wound Care: Bandages, Plasters, Medical Gauze and Tapes</t>
        </is>
      </c>
      <c r="C410" t="inlineStr"/>
      <c r="D410" t="inlineStr">
        <is>
          <t>Manufacturer</t>
        </is>
      </c>
      <c r="E410" t="inlineStr">
        <is>
          <t>PPE</t>
        </is>
      </c>
      <c r="F410" t="inlineStr">
        <is>
          <t>Wound Care, Lab Consumables, Syringes &amp; Needles, IV Infusion Sets, Gauze &amp; Bandages, Disinfectants, IV Cannulas, Catheters</t>
        </is>
      </c>
      <c r="G410" t="inlineStr"/>
      <c r="H410" t="inlineStr">
        <is>
          <t>https://www.medzell.net/main-categories-application/therapeutic-devices/</t>
        </is>
      </c>
      <c r="I410" t="inlineStr">
        <is>
          <t>venturaofc@gmail.com</t>
        </is>
      </c>
      <c r="L410" t="inlineStr"/>
      <c r="M410" t="inlineStr"/>
      <c r="N410" t="inlineStr">
        <is>
          <t>TUV</t>
        </is>
      </c>
      <c r="O410" t="inlineStr">
        <is>
          <t>https://www.medzell.net/company/ventura-adhesive-coatings-private-limited/</t>
        </is>
      </c>
      <c r="Q410" t="n">
        <v>45</v>
      </c>
      <c r="R410">
        <f>IF(Q410="","",IF(Q410&gt;=60,"HIGH",IF(Q410&gt;=30,"MEDIUM","LOW")))</f>
        <v/>
      </c>
      <c r="S410" t="inlineStr">
        <is>
          <t>New</t>
        </is>
      </c>
      <c r="T410" t="inlineStr">
        <is>
          <t>2026-03-05</t>
        </is>
      </c>
      <c r="U410" t="inlineStr">
        <is>
          <t>Seed=Medzell; Seed-file: output/medzell_company_urls.txt</t>
        </is>
      </c>
    </row>
    <row r="411">
      <c r="A411" t="n">
        <v>410</v>
      </c>
      <c r="B411" t="inlineStr">
        <is>
          <t>Veol Medical Technologies | Innovating Women's Health with Minimally Invasive Devices</t>
        </is>
      </c>
      <c r="C411" t="inlineStr"/>
      <c r="D411" t="inlineStr">
        <is>
          <t>Manufacturer</t>
        </is>
      </c>
      <c r="E411" t="inlineStr">
        <is>
          <t>PPE</t>
        </is>
      </c>
      <c r="F411" t="inlineStr">
        <is>
          <t>Wound Care, Lab Consumables, Syringes &amp; Needles, IV Infusion Sets, Gauze &amp; Bandages, Disinfectants, IV Cannulas, Catheters</t>
        </is>
      </c>
      <c r="G411" t="inlineStr"/>
      <c r="H411" t="inlineStr">
        <is>
          <t>https://www.medzell.net/main-categories-application/therapeutic-devices/</t>
        </is>
      </c>
      <c r="I411" t="inlineStr">
        <is>
          <t>je@veolmedtech.com</t>
        </is>
      </c>
      <c r="L411" t="inlineStr">
        <is>
          <t>Stated</t>
        </is>
      </c>
      <c r="M411" t="inlineStr"/>
      <c r="N411" t="inlineStr">
        <is>
          <t>GMP, TUV</t>
        </is>
      </c>
      <c r="O411" t="inlineStr">
        <is>
          <t>https://www.medzell.net/company/veol-medical-technologies-pvt-ltd/</t>
        </is>
      </c>
      <c r="Q411" t="n">
        <v>10</v>
      </c>
      <c r="R411">
        <f>IF(Q411="","",IF(Q411&gt;=60,"HIGH",IF(Q411&gt;=30,"MEDIUM","LOW")))</f>
        <v/>
      </c>
      <c r="S411" t="inlineStr">
        <is>
          <t>New</t>
        </is>
      </c>
      <c r="T411" t="inlineStr">
        <is>
          <t>2026-03-05</t>
        </is>
      </c>
      <c r="U411" t="inlineStr">
        <is>
          <t>Seed=Medzell; Seed-file: output/medzell_company_urls.txt</t>
        </is>
      </c>
    </row>
    <row r="412">
      <c r="A412" t="n">
        <v>411</v>
      </c>
      <c r="B412" t="inlineStr">
        <is>
          <t>Veritas Bioventions: Your Source for Dental Implant Systems and Cardiac Devices</t>
        </is>
      </c>
      <c r="C412" t="inlineStr"/>
      <c r="D412" t="inlineStr">
        <is>
          <t>Manufacturer</t>
        </is>
      </c>
      <c r="E412" t="inlineStr">
        <is>
          <t>PPE</t>
        </is>
      </c>
      <c r="F412" t="inlineStr">
        <is>
          <t>Wound Care, Lab Consumables, Syringes &amp; Needles, IV Infusion Sets, Gauze &amp; Bandages, Disinfectants, IV Cannulas, Catheters</t>
        </is>
      </c>
      <c r="G412" t="inlineStr"/>
      <c r="H412" t="inlineStr">
        <is>
          <t>https://www.medzell.net/main-categories-application/therapeutic-devices/</t>
        </is>
      </c>
      <c r="I412" t="inlineStr">
        <is>
          <t>export@veritasbio.com</t>
        </is>
      </c>
      <c r="L412" t="inlineStr">
        <is>
          <t>Stated</t>
        </is>
      </c>
      <c r="M412" t="inlineStr"/>
      <c r="N412" t="inlineStr">
        <is>
          <t>TUV</t>
        </is>
      </c>
      <c r="O412" t="inlineStr">
        <is>
          <t>https://www.medzell.net/company/veritas-bioventions/</t>
        </is>
      </c>
      <c r="Q412" t="n">
        <v>10</v>
      </c>
      <c r="R412">
        <f>IF(Q412="","",IF(Q412&gt;=60,"HIGH",IF(Q412&gt;=30,"MEDIUM","LOW")))</f>
        <v/>
      </c>
      <c r="S412" t="inlineStr">
        <is>
          <t>New</t>
        </is>
      </c>
      <c r="T412" t="inlineStr">
        <is>
          <t>2026-03-05</t>
        </is>
      </c>
      <c r="U412" t="inlineStr">
        <is>
          <t>Seed=Medzell; Seed-file: output/medzell_company_urls.txt</t>
        </is>
      </c>
    </row>
    <row r="413">
      <c r="A413" t="n">
        <v>412</v>
      </c>
      <c r="B413" t="inlineStr">
        <is>
          <t>Vesco Medical | Leading Provider of ENFit® Enteral Feeding Solutions</t>
        </is>
      </c>
      <c r="C413" t="inlineStr"/>
      <c r="D413" t="inlineStr">
        <is>
          <t>Manufacturer</t>
        </is>
      </c>
      <c r="E413" t="inlineStr">
        <is>
          <t>PPE</t>
        </is>
      </c>
      <c r="F413" t="inlineStr">
        <is>
          <t>Wound Care, Lab Consumables, Syringes &amp; Needles, IV Infusion Sets, Gauze &amp; Bandages, Disinfectants, IV Cannulas, Catheters</t>
        </is>
      </c>
      <c r="G413" t="inlineStr"/>
      <c r="H413" t="inlineStr">
        <is>
          <t>https://www.medzell.net/main-categories-application/therapeutic-devices/</t>
        </is>
      </c>
      <c r="I413" t="inlineStr">
        <is>
          <t>dohara@vescomedical.com</t>
        </is>
      </c>
      <c r="L413" t="inlineStr">
        <is>
          <t>Stated</t>
        </is>
      </c>
      <c r="M413" t="inlineStr"/>
      <c r="N413" t="inlineStr">
        <is>
          <t>FDA, TUV</t>
        </is>
      </c>
      <c r="O413" t="inlineStr">
        <is>
          <t>https://www.medzell.net/company/vesco-medical/</t>
        </is>
      </c>
      <c r="Q413" t="n">
        <v>10</v>
      </c>
      <c r="R413">
        <f>IF(Q413="","",IF(Q413&gt;=60,"HIGH",IF(Q413&gt;=30,"MEDIUM","LOW")))</f>
        <v/>
      </c>
      <c r="S413" t="inlineStr">
        <is>
          <t>New</t>
        </is>
      </c>
      <c r="T413" t="inlineStr">
        <is>
          <t>2026-03-05</t>
        </is>
      </c>
      <c r="U413" t="inlineStr">
        <is>
          <t>Seed=Medzell; Seed-file: output/medzell_company_urls.txt</t>
        </is>
      </c>
    </row>
    <row r="414">
      <c r="A414" t="n">
        <v>413</v>
      </c>
      <c r="B414" t="inlineStr">
        <is>
          <t>Vespas Orthotics Industries: Leading Manufacturer of Orthopedic Aids</t>
        </is>
      </c>
      <c r="C414" t="inlineStr"/>
      <c r="D414" t="inlineStr">
        <is>
          <t>Manufacturer</t>
        </is>
      </c>
      <c r="E414" t="inlineStr">
        <is>
          <t>PPE</t>
        </is>
      </c>
      <c r="F414" t="inlineStr">
        <is>
          <t>Wound Care, Gauze &amp; Bandages, Lab Consumables, Syringes &amp; Needles, IV Infusion Sets, Disinfectants, IV Cannulas, Catheters</t>
        </is>
      </c>
      <c r="G414" t="inlineStr"/>
      <c r="H414" t="inlineStr">
        <is>
          <t>https://www.medzell.net/main-categories-application/therapeutic-devices/</t>
        </is>
      </c>
      <c r="I414" t="inlineStr">
        <is>
          <t>vespasorthotics@gmail.com</t>
        </is>
      </c>
      <c r="L414" t="inlineStr">
        <is>
          <t>Stated</t>
        </is>
      </c>
      <c r="M414" t="inlineStr"/>
      <c r="N414" t="inlineStr">
        <is>
          <t>TUV</t>
        </is>
      </c>
      <c r="O414" t="inlineStr">
        <is>
          <t>https://www.medzell.net/company/vespas-orthotics-industries/</t>
        </is>
      </c>
      <c r="Q414" t="n">
        <v>30</v>
      </c>
      <c r="R414">
        <f>IF(Q414="","",IF(Q414&gt;=60,"HIGH",IF(Q414&gt;=30,"MEDIUM","LOW")))</f>
        <v/>
      </c>
      <c r="S414" t="inlineStr">
        <is>
          <t>New</t>
        </is>
      </c>
      <c r="T414" t="inlineStr">
        <is>
          <t>2026-03-05</t>
        </is>
      </c>
      <c r="U414" t="inlineStr">
        <is>
          <t>Seed=Medzell; Seed-file: output/medzell_company_urls.txt</t>
        </is>
      </c>
    </row>
    <row r="415">
      <c r="A415" t="n">
        <v>414</v>
      </c>
      <c r="B415" t="inlineStr">
        <is>
          <t>Crepe Bandages, Organic Cotton Rolls, and More: Vijayakumar Surgicals' Diverse Product Lineup</t>
        </is>
      </c>
      <c r="C415" t="inlineStr"/>
      <c r="D415" t="inlineStr">
        <is>
          <t>Manufacturer</t>
        </is>
      </c>
      <c r="E415" t="inlineStr">
        <is>
          <t>PPE</t>
        </is>
      </c>
      <c r="F415" t="inlineStr">
        <is>
          <t>Gauze &amp; Bandages, Wound Care, Lab Consumables, Syringes &amp; Needles, IV Infusion Sets, Disinfectants, IV Cannulas, Catheters</t>
        </is>
      </c>
      <c r="G415" t="inlineStr"/>
      <c r="H415" t="inlineStr">
        <is>
          <t>https://www.medzell.net/main-categories-application/therapeutic-devices/</t>
        </is>
      </c>
      <c r="I415" t="inlineStr">
        <is>
          <t>vijayakumarsurgical@gmail.com</t>
        </is>
      </c>
      <c r="L415" t="inlineStr"/>
      <c r="M415" t="inlineStr"/>
      <c r="N415" t="inlineStr">
        <is>
          <t>TUV</t>
        </is>
      </c>
      <c r="O415" t="inlineStr">
        <is>
          <t>https://www.medzell.net/company/vijayakumar-surgicals/</t>
        </is>
      </c>
      <c r="Q415" t="n">
        <v>45</v>
      </c>
      <c r="R415">
        <f>IF(Q415="","",IF(Q415&gt;=60,"HIGH",IF(Q415&gt;=30,"MEDIUM","LOW")))</f>
        <v/>
      </c>
      <c r="S415" t="inlineStr">
        <is>
          <t>New</t>
        </is>
      </c>
      <c r="T415" t="inlineStr">
        <is>
          <t>2026-03-05</t>
        </is>
      </c>
      <c r="U415" t="inlineStr">
        <is>
          <t>Seed=Medzell; Seed-file: output/medzell_company_urls.txt</t>
        </is>
      </c>
    </row>
    <row r="416">
      <c r="A416" t="n">
        <v>415</v>
      </c>
      <c r="B416" t="inlineStr">
        <is>
          <t>Leading Manufacturer and Exporter of Surgical Sutures, Mesh, and Bone Wax - Vinculum Sutures (India) Private Limited</t>
        </is>
      </c>
      <c r="C416" t="inlineStr"/>
      <c r="D416" t="inlineStr">
        <is>
          <t>Manufacturer</t>
        </is>
      </c>
      <c r="E416" t="inlineStr">
        <is>
          <t>PPE</t>
        </is>
      </c>
      <c r="F416" t="inlineStr">
        <is>
          <t>Wound Care, Lab Consumables, Syringes &amp; Needles, IV Infusion Sets, Gauze &amp; Bandages, Disinfectants, IV Cannulas, Catheters</t>
        </is>
      </c>
      <c r="G416" t="inlineStr"/>
      <c r="H416" t="inlineStr">
        <is>
          <t>https://www.medzell.net/main-categories-application/therapeutic-devices/</t>
        </is>
      </c>
      <c r="I416" t="inlineStr">
        <is>
          <t>vinculumsutures@gmail.com</t>
        </is>
      </c>
      <c r="L416" t="inlineStr"/>
      <c r="M416" t="inlineStr"/>
      <c r="N416" t="inlineStr">
        <is>
          <t>TUV</t>
        </is>
      </c>
      <c r="O416" t="inlineStr">
        <is>
          <t>https://www.medzell.net/company/vinculum-sutures-india-private-limited/</t>
        </is>
      </c>
      <c r="Q416" t="n">
        <v>45</v>
      </c>
      <c r="R416">
        <f>IF(Q416="","",IF(Q416&gt;=60,"HIGH",IF(Q416&gt;=30,"MEDIUM","LOW")))</f>
        <v/>
      </c>
      <c r="S416" t="inlineStr">
        <is>
          <t>New</t>
        </is>
      </c>
      <c r="T416" t="inlineStr">
        <is>
          <t>2026-03-05</t>
        </is>
      </c>
      <c r="U416" t="inlineStr">
        <is>
          <t>Seed=Medzell; Seed-file: output/medzell_company_urls.txt</t>
        </is>
      </c>
    </row>
    <row r="417">
      <c r="A417" t="n">
        <v>416</v>
      </c>
      <c r="B417" t="inlineStr">
        <is>
          <t>Virtus Trading LLC: Premium Medical Supplies - Hospital Beds, Wheelchairs, Syringes &amp; More</t>
        </is>
      </c>
      <c r="C417" t="inlineStr"/>
      <c r="D417" t="inlineStr">
        <is>
          <t>Manufacturer</t>
        </is>
      </c>
      <c r="E417" t="inlineStr">
        <is>
          <t>PPE</t>
        </is>
      </c>
      <c r="F417" t="inlineStr">
        <is>
          <t>Wound Care, Syringes &amp; Needles, Gauze &amp; Bandages, IV Infusion Sets, Gloves, Lab Consumables, IV Cannulas, Disinfectants, Catheters</t>
        </is>
      </c>
      <c r="G417" t="inlineStr"/>
      <c r="H417" t="inlineStr">
        <is>
          <t>https://www.medzell.net/main-categories-application/therapeutic-devices/</t>
        </is>
      </c>
      <c r="I417" t="inlineStr">
        <is>
          <t>medical@virtusuae.com</t>
        </is>
      </c>
      <c r="L417" t="inlineStr"/>
      <c r="M417" t="inlineStr"/>
      <c r="N417" t="inlineStr">
        <is>
          <t>TUV</t>
        </is>
      </c>
      <c r="O417" t="inlineStr">
        <is>
          <t>https://www.medzell.net/company/virtus-trading-llc/</t>
        </is>
      </c>
      <c r="Q417" t="n">
        <v>25</v>
      </c>
      <c r="R417">
        <f>IF(Q417="","",IF(Q417&gt;=60,"HIGH",IF(Q417&gt;=30,"MEDIUM","LOW")))</f>
        <v/>
      </c>
      <c r="S417" t="inlineStr">
        <is>
          <t>New</t>
        </is>
      </c>
      <c r="T417" t="inlineStr">
        <is>
          <t>2026-03-05</t>
        </is>
      </c>
      <c r="U417" t="inlineStr">
        <is>
          <t>Seed=Medzell; Seed-file: output/medzell_company_urls.txt</t>
        </is>
      </c>
    </row>
    <row r="418">
      <c r="A418" t="n">
        <v>417</v>
      </c>
      <c r="B418" t="inlineStr">
        <is>
          <t>Vision Medicaid – Innovating X-Ray Technology for Medical, Industrial &amp; Security Applications</t>
        </is>
      </c>
      <c r="C418" t="inlineStr"/>
      <c r="D418" t="inlineStr">
        <is>
          <t>Manufacturer</t>
        </is>
      </c>
      <c r="E418" t="inlineStr">
        <is>
          <t>PPE</t>
        </is>
      </c>
      <c r="F418" t="inlineStr">
        <is>
          <t>Wound Care, Lab Consumables, Syringes &amp; Needles, IV Infusion Sets, Gauze &amp; Bandages, Disinfectants, IV Cannulas, Catheters</t>
        </is>
      </c>
      <c r="G418" t="inlineStr"/>
      <c r="H418" t="inlineStr">
        <is>
          <t>https://www.medzell.net/main-categories-application/therapeutic-devices/</t>
        </is>
      </c>
      <c r="I418" t="inlineStr">
        <is>
          <t>deven@visionxray.com</t>
        </is>
      </c>
      <c r="L418" t="inlineStr">
        <is>
          <t>Stated</t>
        </is>
      </c>
      <c r="M418" t="inlineStr"/>
      <c r="N418" t="inlineStr">
        <is>
          <t>TUV</t>
        </is>
      </c>
      <c r="O418" t="inlineStr">
        <is>
          <t>https://www.medzell.net/company/vision-medicaid-equipments-pvt-ltd/</t>
        </is>
      </c>
      <c r="Q418" t="n">
        <v>10</v>
      </c>
      <c r="R418">
        <f>IF(Q418="","",IF(Q418&gt;=60,"HIGH",IF(Q418&gt;=30,"MEDIUM","LOW")))</f>
        <v/>
      </c>
      <c r="S418" t="inlineStr">
        <is>
          <t>New</t>
        </is>
      </c>
      <c r="T418" t="inlineStr">
        <is>
          <t>2026-03-05</t>
        </is>
      </c>
      <c r="U418" t="inlineStr">
        <is>
          <t>Seed=Medzell; Seed-file: output/medzell_company_urls.txt</t>
        </is>
      </c>
    </row>
    <row r="419">
      <c r="A419" t="n">
        <v>418</v>
      </c>
      <c r="B419" t="inlineStr">
        <is>
          <t>Trusted Neonatal &amp; Respiratory Care Devices Supplier in Hospitals around the World</t>
        </is>
      </c>
      <c r="C419" t="inlineStr"/>
      <c r="D419" t="inlineStr">
        <is>
          <t>Manufacturer</t>
        </is>
      </c>
      <c r="E419" t="inlineStr">
        <is>
          <t>PPE</t>
        </is>
      </c>
      <c r="F419" t="inlineStr">
        <is>
          <t>Wound Care, Lab Consumables, Syringes &amp; Needles, IV Infusion Sets, Gauze &amp; Bandages, Disinfectants, IV Cannulas, Catheters</t>
        </is>
      </c>
      <c r="G419" t="inlineStr"/>
      <c r="H419" t="inlineStr">
        <is>
          <t>https://www.medzell.net/main-categories-application/therapeutic-devices/</t>
        </is>
      </c>
      <c r="I419" t="inlineStr">
        <is>
          <t>vishal@vngmedical.com</t>
        </is>
      </c>
      <c r="L419" t="inlineStr">
        <is>
          <t>Stated</t>
        </is>
      </c>
      <c r="M419" t="inlineStr"/>
      <c r="N419" t="inlineStr">
        <is>
          <t>TUV</t>
        </is>
      </c>
      <c r="O419" t="inlineStr">
        <is>
          <t>https://www.medzell.net/company/vng-medical-innovation-system-pvt-ltd/</t>
        </is>
      </c>
      <c r="Q419" t="n">
        <v>10</v>
      </c>
      <c r="R419">
        <f>IF(Q419="","",IF(Q419&gt;=60,"HIGH",IF(Q419&gt;=30,"MEDIUM","LOW")))</f>
        <v/>
      </c>
      <c r="S419" t="inlineStr">
        <is>
          <t>New</t>
        </is>
      </c>
      <c r="T419" t="inlineStr">
        <is>
          <t>2026-03-05</t>
        </is>
      </c>
      <c r="U419" t="inlineStr">
        <is>
          <t>Seed=Medzell; Seed-file: output/medzell_company_urls.txt</t>
        </is>
      </c>
    </row>
    <row r="420">
      <c r="A420" t="n">
        <v>419</v>
      </c>
      <c r="B420" t="inlineStr">
        <is>
          <t>Elevate Your Hand Protection with Enliva’s Revolutionary Nitrile Gloves</t>
        </is>
      </c>
      <c r="C420" t="inlineStr"/>
      <c r="D420" t="inlineStr">
        <is>
          <t>Manufacturer</t>
        </is>
      </c>
      <c r="E420" t="inlineStr">
        <is>
          <t>PPE</t>
        </is>
      </c>
      <c r="F420" t="inlineStr">
        <is>
          <t>Wound Care, Lab Consumables, Syringes &amp; Needles, IV Infusion Sets, Gloves, Gauze &amp; Bandages, Disinfectants, IV Cannulas, Catheters</t>
        </is>
      </c>
      <c r="G420" t="inlineStr"/>
      <c r="H420" t="inlineStr">
        <is>
          <t>https://www.medzell.net/main-categories-application/therapeutic-devices/</t>
        </is>
      </c>
      <c r="I420" t="inlineStr">
        <is>
          <t>sales@wadisurgicals.com</t>
        </is>
      </c>
      <c r="L420" t="inlineStr">
        <is>
          <t>Stated</t>
        </is>
      </c>
      <c r="M420" t="inlineStr"/>
      <c r="N420" t="inlineStr">
        <is>
          <t>GMP, TUV</t>
        </is>
      </c>
      <c r="O420" t="inlineStr">
        <is>
          <t>https://www.medzell.net/company/wadi-surgicals-private-limited/</t>
        </is>
      </c>
      <c r="Q420" t="n">
        <v>10</v>
      </c>
      <c r="R420">
        <f>IF(Q420="","",IF(Q420&gt;=60,"HIGH",IF(Q420&gt;=30,"MEDIUM","LOW")))</f>
        <v/>
      </c>
      <c r="S420" t="inlineStr">
        <is>
          <t>New</t>
        </is>
      </c>
      <c r="T420" t="inlineStr">
        <is>
          <t>2026-03-05</t>
        </is>
      </c>
      <c r="U420" t="inlineStr">
        <is>
          <t>Seed=Medzell; Seed-file: output/medzell_company_urls.txt</t>
        </is>
      </c>
    </row>
    <row r="421">
      <c r="A421" t="n">
        <v>420</v>
      </c>
      <c r="B421" t="inlineStr">
        <is>
          <t>Revolutionizing Healthcare with Innovative Medical Equipment | Walnut Medical Pvt. Ltd.</t>
        </is>
      </c>
      <c r="C421" t="inlineStr"/>
      <c r="D421" t="inlineStr">
        <is>
          <t>Manufacturer</t>
        </is>
      </c>
      <c r="E421" t="inlineStr">
        <is>
          <t>PPE</t>
        </is>
      </c>
      <c r="F421" t="inlineStr">
        <is>
          <t>Wound Care, Lab Consumables, Syringes &amp; Needles, IV Infusion Sets, Gauze &amp; Bandages, Disinfectants, IV Cannulas, Catheters</t>
        </is>
      </c>
      <c r="G421" t="inlineStr"/>
      <c r="H421" t="inlineStr">
        <is>
          <t>https://www.medzell.net/main-categories-application/therapeutic-devices/</t>
        </is>
      </c>
      <c r="I421" t="inlineStr">
        <is>
          <t>contact@walnutmedical.in</t>
        </is>
      </c>
      <c r="L421" t="inlineStr"/>
      <c r="M421" t="inlineStr"/>
      <c r="N421" t="inlineStr">
        <is>
          <t>TUV</t>
        </is>
      </c>
      <c r="O421" t="inlineStr">
        <is>
          <t>https://www.medzell.net/company/walnut-medical-pvt-ltd/</t>
        </is>
      </c>
      <c r="Q421" t="n">
        <v>25</v>
      </c>
      <c r="R421">
        <f>IF(Q421="","",IF(Q421&gt;=60,"HIGH",IF(Q421&gt;=30,"MEDIUM","LOW")))</f>
        <v/>
      </c>
      <c r="S421" t="inlineStr">
        <is>
          <t>New</t>
        </is>
      </c>
      <c r="T421" t="inlineStr">
        <is>
          <t>2026-03-05</t>
        </is>
      </c>
      <c r="U421" t="inlineStr">
        <is>
          <t>Seed=Medzell; Seed-file: output/medzell_company_urls.txt</t>
        </is>
      </c>
    </row>
    <row r="422">
      <c r="A422" t="n">
        <v>421</v>
      </c>
      <c r="B422" t="inlineStr">
        <is>
          <t>Wave Visions: Leading LED OT Light Manufacturer with ISO 13485 and ISO 9001 Certifications</t>
        </is>
      </c>
      <c r="C422" t="inlineStr"/>
      <c r="D422" t="inlineStr">
        <is>
          <t>Manufacturer</t>
        </is>
      </c>
      <c r="E422" t="inlineStr">
        <is>
          <t>PPE</t>
        </is>
      </c>
      <c r="F422" t="inlineStr">
        <is>
          <t>Wound Care, Lab Consumables, Syringes &amp; Needles, IV Infusion Sets, Gauze &amp; Bandages, Disinfectants, IV Cannulas, Catheters</t>
        </is>
      </c>
      <c r="G422" t="inlineStr"/>
      <c r="H422" t="inlineStr">
        <is>
          <t>https://www.medzell.net/main-categories-application/therapeutic-devices/</t>
        </is>
      </c>
      <c r="I422" t="inlineStr">
        <is>
          <t>wavevisions@gmail.com</t>
        </is>
      </c>
      <c r="L422" t="inlineStr">
        <is>
          <t>Stated</t>
        </is>
      </c>
      <c r="M422" t="inlineStr">
        <is>
          <t>Stated</t>
        </is>
      </c>
      <c r="N422" t="inlineStr">
        <is>
          <t>TUV</t>
        </is>
      </c>
      <c r="O422" t="inlineStr">
        <is>
          <t>https://www.medzell.net/company/wave-visions/</t>
        </is>
      </c>
      <c r="Q422" t="n">
        <v>20</v>
      </c>
      <c r="R422">
        <f>IF(Q422="","",IF(Q422&gt;=60,"HIGH",IF(Q422&gt;=30,"MEDIUM","LOW")))</f>
        <v/>
      </c>
      <c r="S422" t="inlineStr">
        <is>
          <t>New</t>
        </is>
      </c>
      <c r="T422" t="inlineStr">
        <is>
          <t>2026-03-05</t>
        </is>
      </c>
      <c r="U422" t="inlineStr">
        <is>
          <t>Seed=Medzell; Seed-file: output/medzell_company_urls.txt</t>
        </is>
      </c>
    </row>
    <row r="423">
      <c r="A423" t="n">
        <v>422</v>
      </c>
      <c r="B423" t="inlineStr">
        <is>
          <t>Complete Solutions for Patient Management and Healthcare Infrastructure | Welcraft Healthcare Pvt. Ltd.</t>
        </is>
      </c>
      <c r="C423" t="inlineStr"/>
      <c r="D423" t="inlineStr">
        <is>
          <t>Manufacturer</t>
        </is>
      </c>
      <c r="E423" t="inlineStr">
        <is>
          <t>PPE</t>
        </is>
      </c>
      <c r="F423" t="inlineStr">
        <is>
          <t>Wound Care, Lab Consumables, Syringes &amp; Needles, IV Infusion Sets, Gauze &amp; Bandages, Disinfectants, IV Cannulas, Catheters</t>
        </is>
      </c>
      <c r="G423" t="inlineStr"/>
      <c r="H423" t="inlineStr">
        <is>
          <t>https://www.medzell.net/main-categories-application/therapeutic-devices/</t>
        </is>
      </c>
      <c r="I423" t="inlineStr">
        <is>
          <t>sales03@welcrafthealthcare.com</t>
        </is>
      </c>
      <c r="L423" t="inlineStr">
        <is>
          <t>Stated</t>
        </is>
      </c>
      <c r="M423" t="inlineStr">
        <is>
          <t>Stated</t>
        </is>
      </c>
      <c r="N423" t="inlineStr">
        <is>
          <t>TUV</t>
        </is>
      </c>
      <c r="O423" t="inlineStr">
        <is>
          <t>https://www.medzell.net/company/welcraft-healthcare-pvt-ltd/</t>
        </is>
      </c>
      <c r="Q423" t="n">
        <v>0</v>
      </c>
      <c r="R423">
        <f>IF(Q423="","",IF(Q423&gt;=60,"HIGH",IF(Q423&gt;=30,"MEDIUM","LOW")))</f>
        <v/>
      </c>
      <c r="S423" t="inlineStr">
        <is>
          <t>New</t>
        </is>
      </c>
      <c r="T423" t="inlineStr">
        <is>
          <t>2026-03-05</t>
        </is>
      </c>
      <c r="U423" t="inlineStr">
        <is>
          <t>Seed=Medzell; Seed-file: output/medzell_company_urls.txt</t>
        </is>
      </c>
    </row>
    <row r="424">
      <c r="A424" t="n">
        <v>423</v>
      </c>
      <c r="B424" t="inlineStr">
        <is>
          <t>Welfo Fiber Optics: High-Quality Fiber Optic Assemblies for Global Industries</t>
        </is>
      </c>
      <c r="C424" t="inlineStr"/>
      <c r="D424" t="inlineStr">
        <is>
          <t>Manufacturer</t>
        </is>
      </c>
      <c r="E424" t="inlineStr">
        <is>
          <t>PPE</t>
        </is>
      </c>
      <c r="F424" t="inlineStr">
        <is>
          <t>Wound Care, Lab Consumables, Syringes &amp; Needles, IV Infusion Sets, Gauze &amp; Bandages, Disinfectants, IV Cannulas, Catheters</t>
        </is>
      </c>
      <c r="G424" t="inlineStr"/>
      <c r="H424" t="inlineStr">
        <is>
          <t>https://www.medzell.net/main-categories-application/therapeutic-devices/</t>
        </is>
      </c>
      <c r="I424" t="inlineStr">
        <is>
          <t>welfofiber86@gmail.com</t>
        </is>
      </c>
      <c r="L424" t="inlineStr">
        <is>
          <t>Stated</t>
        </is>
      </c>
      <c r="M424" t="inlineStr">
        <is>
          <t>Stated</t>
        </is>
      </c>
      <c r="N424" t="inlineStr">
        <is>
          <t>TUV</t>
        </is>
      </c>
      <c r="O424" t="inlineStr">
        <is>
          <t>https://www.medzell.net/company/welfo-fiber-optics/</t>
        </is>
      </c>
      <c r="Q424" t="n">
        <v>20</v>
      </c>
      <c r="R424">
        <f>IF(Q424="","",IF(Q424&gt;=60,"HIGH",IF(Q424&gt;=30,"MEDIUM","LOW")))</f>
        <v/>
      </c>
      <c r="S424" t="inlineStr">
        <is>
          <t>New</t>
        </is>
      </c>
      <c r="T424" t="inlineStr">
        <is>
          <t>2026-03-05</t>
        </is>
      </c>
      <c r="U424" t="inlineStr">
        <is>
          <t>Seed=Medzell; Seed-file: output/medzell_company_urls.txt</t>
        </is>
      </c>
    </row>
    <row r="425">
      <c r="A425" t="n">
        <v>424</v>
      </c>
      <c r="B425" t="inlineStr">
        <is>
          <t>Wellright Healthcare LLP: Trusted Provider of Medical Disposables | Medzell B2B Marketplace</t>
        </is>
      </c>
      <c r="C425" t="inlineStr"/>
      <c r="D425" t="inlineStr">
        <is>
          <t>Manufacturer</t>
        </is>
      </c>
      <c r="E425" t="inlineStr">
        <is>
          <t>PPE</t>
        </is>
      </c>
      <c r="F425" t="inlineStr">
        <is>
          <t>Wound Care, Lab Consumables, Syringes &amp; Needles, IV Infusion Sets, Gloves, Gauze &amp; Bandages, Disinfectants, IV Cannulas, Catheters</t>
        </is>
      </c>
      <c r="G425" t="inlineStr"/>
      <c r="H425" t="inlineStr">
        <is>
          <t>https://www.medzell.net/main-categories-application/therapeutic-devices/</t>
        </is>
      </c>
      <c r="I425" t="inlineStr">
        <is>
          <t>robin@wellright.in</t>
        </is>
      </c>
      <c r="L425" t="inlineStr">
        <is>
          <t>Stated</t>
        </is>
      </c>
      <c r="M425" t="inlineStr"/>
      <c r="N425" t="inlineStr">
        <is>
          <t>TUV</t>
        </is>
      </c>
      <c r="O425" t="inlineStr">
        <is>
          <t>https://www.medzell.net/company/wellright-healthcare-llp/</t>
        </is>
      </c>
      <c r="Q425" t="n">
        <v>10</v>
      </c>
      <c r="R425">
        <f>IF(Q425="","",IF(Q425&gt;=60,"HIGH",IF(Q425&gt;=30,"MEDIUM","LOW")))</f>
        <v/>
      </c>
      <c r="S425" t="inlineStr">
        <is>
          <t>New</t>
        </is>
      </c>
      <c r="T425" t="inlineStr">
        <is>
          <t>2026-03-05</t>
        </is>
      </c>
      <c r="U425" t="inlineStr">
        <is>
          <t>Seed=Medzell; Seed-file: output/medzell_company_urls.txt</t>
        </is>
      </c>
    </row>
    <row r="426">
      <c r="A426" t="n">
        <v>425</v>
      </c>
      <c r="B426" t="inlineStr">
        <is>
          <t>WEMAKE SOLUTIONS – Trusted Provider of Medical Equipment Spares &amp; Custom Fabrication</t>
        </is>
      </c>
      <c r="C426" t="inlineStr"/>
      <c r="D426" t="inlineStr">
        <is>
          <t>Manufacturer</t>
        </is>
      </c>
      <c r="E426" t="inlineStr">
        <is>
          <t>PPE</t>
        </is>
      </c>
      <c r="F426" t="inlineStr">
        <is>
          <t>Wound Care, Lab Consumables, Syringes &amp; Needles, IV Infusion Sets, Gauze &amp; Bandages, Disinfectants, IV Cannulas, Catheters</t>
        </is>
      </c>
      <c r="G426" t="inlineStr"/>
      <c r="H426" t="inlineStr">
        <is>
          <t>https://www.medzell.net/main-categories-application/therapeutic-devices/</t>
        </is>
      </c>
      <c r="I426" t="inlineStr">
        <is>
          <t>wemakesystems@gmail.com</t>
        </is>
      </c>
      <c r="L426" t="inlineStr">
        <is>
          <t>Stated</t>
        </is>
      </c>
      <c r="M426" t="inlineStr"/>
      <c r="N426" t="inlineStr">
        <is>
          <t>TUV</t>
        </is>
      </c>
      <c r="O426" t="inlineStr">
        <is>
          <t>https://www.medzell.net/company/wemake-soutions-pvt-ltd/</t>
        </is>
      </c>
      <c r="Q426" t="n">
        <v>30</v>
      </c>
      <c r="R426">
        <f>IF(Q426="","",IF(Q426&gt;=60,"HIGH",IF(Q426&gt;=30,"MEDIUM","LOW")))</f>
        <v/>
      </c>
      <c r="S426" t="inlineStr">
        <is>
          <t>New</t>
        </is>
      </c>
      <c r="T426" t="inlineStr">
        <is>
          <t>2026-03-05</t>
        </is>
      </c>
      <c r="U426" t="inlineStr">
        <is>
          <t>Seed=Medzell; Seed-file: output/medzell_company_urls.txt</t>
        </is>
      </c>
    </row>
    <row r="427">
      <c r="A427" t="n">
        <v>426</v>
      </c>
      <c r="B427" t="inlineStr">
        <is>
          <t>White Plus Innovations Pvt. Ltd. | Leading Manufacturer of Hand Sanitizer &amp; Face Mask</t>
        </is>
      </c>
      <c r="C427" t="inlineStr"/>
      <c r="D427" t="inlineStr">
        <is>
          <t>Manufacturer</t>
        </is>
      </c>
      <c r="E427" t="inlineStr">
        <is>
          <t>PPE</t>
        </is>
      </c>
      <c r="F427" t="inlineStr">
        <is>
          <t>Wound Care, Lab Consumables, Syringes &amp; Needles, IV Infusion Sets, Gauze &amp; Bandages, Disinfectants, IV Cannulas, Catheters</t>
        </is>
      </c>
      <c r="G427" t="inlineStr"/>
      <c r="H427" t="inlineStr">
        <is>
          <t>https://www.medzell.net/main-categories-application/therapeutic-devices/</t>
        </is>
      </c>
      <c r="I427" t="inlineStr">
        <is>
          <t>marketing.whiteplus@gmail.com</t>
        </is>
      </c>
      <c r="L427" t="inlineStr"/>
      <c r="M427" t="inlineStr"/>
      <c r="N427" t="inlineStr">
        <is>
          <t>TUV</t>
        </is>
      </c>
      <c r="O427" t="inlineStr">
        <is>
          <t>https://www.medzell.net/company/white-plus-innovations-i-pvt-ltd/</t>
        </is>
      </c>
      <c r="Q427" t="n">
        <v>45</v>
      </c>
      <c r="R427">
        <f>IF(Q427="","",IF(Q427&gt;=60,"HIGH",IF(Q427&gt;=30,"MEDIUM","LOW")))</f>
        <v/>
      </c>
      <c r="S427" t="inlineStr">
        <is>
          <t>New</t>
        </is>
      </c>
      <c r="T427" t="inlineStr">
        <is>
          <t>2026-03-05</t>
        </is>
      </c>
      <c r="U427" t="inlineStr">
        <is>
          <t>Seed=Medzell; Seed-file: output/medzell_company_urls.txt</t>
        </is>
      </c>
    </row>
    <row r="428">
      <c r="A428" t="n">
        <v>427</v>
      </c>
      <c r="B428" t="inlineStr">
        <is>
          <t>High-Quality Medical Furniture &amp; Equipment by Willson Medical Systems</t>
        </is>
      </c>
      <c r="C428" t="inlineStr"/>
      <c r="D428" t="inlineStr">
        <is>
          <t>Manufacturer</t>
        </is>
      </c>
      <c r="E428" t="inlineStr">
        <is>
          <t>PPE</t>
        </is>
      </c>
      <c r="F428" t="inlineStr">
        <is>
          <t>Wound Care, Lab Consumables, Syringes &amp; Needles, IV Infusion Sets, Gauze &amp; Bandages, Disinfectants, IV Cannulas, Catheters</t>
        </is>
      </c>
      <c r="G428" t="inlineStr"/>
      <c r="H428" t="inlineStr">
        <is>
          <t>https://www.medzell.net/main-categories-application/therapeutic-devices/</t>
        </is>
      </c>
      <c r="I428" t="inlineStr">
        <is>
          <t>gm@willson.in</t>
        </is>
      </c>
      <c r="L428" t="inlineStr">
        <is>
          <t>Stated</t>
        </is>
      </c>
      <c r="M428" t="inlineStr">
        <is>
          <t>Stated</t>
        </is>
      </c>
      <c r="N428" t="inlineStr">
        <is>
          <t>GMP, TUV</t>
        </is>
      </c>
      <c r="O428" t="inlineStr">
        <is>
          <t>https://www.medzell.net/company/willson-medical-system-pvt-ltd/</t>
        </is>
      </c>
      <c r="Q428" t="n">
        <v>0</v>
      </c>
      <c r="R428">
        <f>IF(Q428="","",IF(Q428&gt;=60,"HIGH",IF(Q428&gt;=30,"MEDIUM","LOW")))</f>
        <v/>
      </c>
      <c r="S428" t="inlineStr">
        <is>
          <t>New</t>
        </is>
      </c>
      <c r="T428" t="inlineStr">
        <is>
          <t>2026-03-05</t>
        </is>
      </c>
      <c r="U428" t="inlineStr">
        <is>
          <t>Seed=Medzell; Seed-file: output/medzell_company_urls.txt</t>
        </is>
      </c>
    </row>
    <row r="429">
      <c r="A429" t="n">
        <v>428</v>
      </c>
      <c r="B429" t="inlineStr">
        <is>
          <t>Winglobe Healthcare Pvt. Ltd.: Pioneering Affordable Surgical Technologies for Global Healthcare</t>
        </is>
      </c>
      <c r="C429" t="inlineStr"/>
      <c r="D429" t="inlineStr">
        <is>
          <t>Manufacturer</t>
        </is>
      </c>
      <c r="E429" t="inlineStr">
        <is>
          <t>PPE</t>
        </is>
      </c>
      <c r="F429" t="inlineStr">
        <is>
          <t>Wound Care, Lab Consumables, Syringes &amp; Needles, IV Infusion Sets, Gauze &amp; Bandages, Disinfectants, IV Cannulas, Catheters</t>
        </is>
      </c>
      <c r="G429" t="inlineStr"/>
      <c r="H429" t="inlineStr">
        <is>
          <t>https://www.medzell.net/main-categories-application/therapeutic-devices/</t>
        </is>
      </c>
      <c r="I429" t="inlineStr">
        <is>
          <t>kunal.kishore@winglobe.in</t>
        </is>
      </c>
      <c r="L429" t="inlineStr">
        <is>
          <t>Stated</t>
        </is>
      </c>
      <c r="M429" t="inlineStr"/>
      <c r="N429" t="inlineStr">
        <is>
          <t>TUV</t>
        </is>
      </c>
      <c r="O429" t="inlineStr">
        <is>
          <t>https://www.medzell.net/company/winglobe-healthcare-pvt-ltd/</t>
        </is>
      </c>
      <c r="Q429" t="n">
        <v>10</v>
      </c>
      <c r="R429">
        <f>IF(Q429="","",IF(Q429&gt;=60,"HIGH",IF(Q429&gt;=30,"MEDIUM","LOW")))</f>
        <v/>
      </c>
      <c r="S429" t="inlineStr">
        <is>
          <t>New</t>
        </is>
      </c>
      <c r="T429" t="inlineStr">
        <is>
          <t>2026-03-05</t>
        </is>
      </c>
      <c r="U429" t="inlineStr">
        <is>
          <t>Seed=Medzell; Seed-file: output/medzell_company_urls.txt</t>
        </is>
      </c>
    </row>
    <row r="430">
      <c r="A430" t="n">
        <v>429</v>
      </c>
      <c r="B430" t="inlineStr">
        <is>
          <t>Wonder Products Co. – Excellence in Surgical &amp; Ophthalmic Instrument Manufacturing</t>
        </is>
      </c>
      <c r="C430" t="inlineStr"/>
      <c r="D430" t="inlineStr">
        <is>
          <t>Manufacturer</t>
        </is>
      </c>
      <c r="E430" t="inlineStr">
        <is>
          <t>PPE</t>
        </is>
      </c>
      <c r="F430" t="inlineStr">
        <is>
          <t>Wound Care, Lab Consumables, Syringes &amp; Needles, IV Infusion Sets, Gauze &amp; Bandages, Disinfectants, IV Cannulas, Catheters</t>
        </is>
      </c>
      <c r="G430" t="inlineStr"/>
      <c r="H430" t="inlineStr">
        <is>
          <t>https://www.medzell.net/main-categories-application/therapeutic-devices/</t>
        </is>
      </c>
      <c r="I430" t="inlineStr">
        <is>
          <t>sales@vsafeguard.in</t>
        </is>
      </c>
      <c r="L430" t="inlineStr">
        <is>
          <t>Stated</t>
        </is>
      </c>
      <c r="M430" t="inlineStr"/>
      <c r="N430" t="inlineStr">
        <is>
          <t>TUV</t>
        </is>
      </c>
      <c r="O430" t="inlineStr">
        <is>
          <t>https://www.medzell.net/company/wonder-products-co/</t>
        </is>
      </c>
      <c r="Q430" t="n">
        <v>10</v>
      </c>
      <c r="R430">
        <f>IF(Q430="","",IF(Q430&gt;=60,"HIGH",IF(Q430&gt;=30,"MEDIUM","LOW")))</f>
        <v/>
      </c>
      <c r="S430" t="inlineStr">
        <is>
          <t>New</t>
        </is>
      </c>
      <c r="T430" t="inlineStr">
        <is>
          <t>2026-03-05</t>
        </is>
      </c>
      <c r="U430" t="inlineStr">
        <is>
          <t>Seed=Medzell; Seed-file: output/medzell_company_urls.txt</t>
        </is>
      </c>
    </row>
    <row r="431">
      <c r="A431" t="n">
        <v>430</v>
      </c>
      <c r="B431" t="inlineStr">
        <is>
          <t>Revolutionizing home-based healthcare with TrueHb by Wrig Nanosystems</t>
        </is>
      </c>
      <c r="C431" t="inlineStr"/>
      <c r="D431" t="inlineStr">
        <is>
          <t>Manufacturer</t>
        </is>
      </c>
      <c r="E431" t="inlineStr">
        <is>
          <t>PPE</t>
        </is>
      </c>
      <c r="F431" t="inlineStr">
        <is>
          <t>Wound Care, Lab Consumables, Syringes &amp; Needles, IV Infusion Sets, Gauze &amp; Bandages, Disinfectants, IV Cannulas, Catheters</t>
        </is>
      </c>
      <c r="G431" t="inlineStr"/>
      <c r="H431" t="inlineStr">
        <is>
          <t>https://www.medzell.net/main-categories-application/therapeutic-devices/</t>
        </is>
      </c>
      <c r="I431" t="inlineStr">
        <is>
          <t>mayank.chandra@wrig.in</t>
        </is>
      </c>
      <c r="L431" t="inlineStr">
        <is>
          <t>Stated</t>
        </is>
      </c>
      <c r="M431" t="inlineStr"/>
      <c r="N431" t="inlineStr">
        <is>
          <t>TUV</t>
        </is>
      </c>
      <c r="O431" t="inlineStr">
        <is>
          <t>https://www.medzell.net/company/wrig-nanosystems-private-limited/</t>
        </is>
      </c>
      <c r="Q431" t="n">
        <v>10</v>
      </c>
      <c r="R431">
        <f>IF(Q431="","",IF(Q431&gt;=60,"HIGH",IF(Q431&gt;=30,"MEDIUM","LOW")))</f>
        <v/>
      </c>
      <c r="S431" t="inlineStr">
        <is>
          <t>New</t>
        </is>
      </c>
      <c r="T431" t="inlineStr">
        <is>
          <t>2026-03-05</t>
        </is>
      </c>
      <c r="U431" t="inlineStr">
        <is>
          <t>Seed=Medzell; Seed-file: output/medzell_company_urls.txt</t>
        </is>
      </c>
    </row>
    <row r="432">
      <c r="A432" t="n">
        <v>431</v>
      </c>
      <c r="B432" t="inlineStr">
        <is>
          <t>XcelLance Medical Technologies: A Pinnacle of Quality in Surgical Equipment Manufacturing</t>
        </is>
      </c>
      <c r="C432" t="inlineStr"/>
      <c r="D432" t="inlineStr">
        <is>
          <t>Manufacturer</t>
        </is>
      </c>
      <c r="E432" t="inlineStr">
        <is>
          <t>PPE</t>
        </is>
      </c>
      <c r="F432" t="inlineStr">
        <is>
          <t>Wound Care, Lab Consumables, Syringes &amp; Needles, IV Infusion Sets, Gauze &amp; Bandages, Disinfectants, IV Cannulas, Catheters</t>
        </is>
      </c>
      <c r="G432" t="inlineStr"/>
      <c r="H432" t="inlineStr">
        <is>
          <t>https://www.medzell.net/main-categories-application/therapeutic-devices/</t>
        </is>
      </c>
      <c r="I432" t="inlineStr">
        <is>
          <t>girish.s@shalya.in</t>
        </is>
      </c>
      <c r="L432" t="inlineStr"/>
      <c r="M432" t="inlineStr">
        <is>
          <t>Stated</t>
        </is>
      </c>
      <c r="N432" t="inlineStr">
        <is>
          <t>FDA, TUV</t>
        </is>
      </c>
      <c r="O432" t="inlineStr">
        <is>
          <t>https://www.medzell.net/company/xcellance-medical-technologies-pvt-ltd-shalya/</t>
        </is>
      </c>
      <c r="Q432" t="n">
        <v>15</v>
      </c>
      <c r="R432">
        <f>IF(Q432="","",IF(Q432&gt;=60,"HIGH",IF(Q432&gt;=30,"MEDIUM","LOW")))</f>
        <v/>
      </c>
      <c r="S432" t="inlineStr">
        <is>
          <t>New</t>
        </is>
      </c>
      <c r="T432" t="inlineStr">
        <is>
          <t>2026-03-05</t>
        </is>
      </c>
      <c r="U432" t="inlineStr">
        <is>
          <t>Seed=Medzell; Seed-file: output/medzell_company_urls.txt</t>
        </is>
      </c>
    </row>
    <row r="433">
      <c r="A433" t="n">
        <v>432</v>
      </c>
      <c r="B433" t="inlineStr">
        <is>
          <t>Xuzhou Zhiqiu Medical Equipment Co., Ltd. - Superior Hospital Furniture &amp; Equipment Solutions</t>
        </is>
      </c>
      <c r="C433" t="inlineStr"/>
      <c r="D433" t="inlineStr">
        <is>
          <t>Manufacturer</t>
        </is>
      </c>
      <c r="E433" t="inlineStr">
        <is>
          <t>PPE</t>
        </is>
      </c>
      <c r="F433" t="inlineStr">
        <is>
          <t>Wound Care, Lab Consumables, Syringes &amp; Needles, IV Infusion Sets, Gauze &amp; Bandages, Disinfectants, IV Cannulas, Catheters</t>
        </is>
      </c>
      <c r="G433" t="inlineStr"/>
      <c r="H433" t="inlineStr">
        <is>
          <t>https://www.medzell.net/main-categories-application/therapeutic-devices/</t>
        </is>
      </c>
      <c r="I433" t="inlineStr">
        <is>
          <t>zqmedicaltrolley@gmail.com</t>
        </is>
      </c>
      <c r="L433" t="inlineStr">
        <is>
          <t>Stated</t>
        </is>
      </c>
      <c r="M433" t="inlineStr"/>
      <c r="N433" t="inlineStr">
        <is>
          <t>TUV</t>
        </is>
      </c>
      <c r="O433" t="inlineStr">
        <is>
          <t>https://www.medzell.net/company/xuzhou-zhiqiu-medical-equipment-co-ltd/</t>
        </is>
      </c>
      <c r="Q433" t="n">
        <v>30</v>
      </c>
      <c r="R433">
        <f>IF(Q433="","",IF(Q433&gt;=60,"HIGH",IF(Q433&gt;=30,"MEDIUM","LOW")))</f>
        <v/>
      </c>
      <c r="S433" t="inlineStr">
        <is>
          <t>New</t>
        </is>
      </c>
      <c r="T433" t="inlineStr">
        <is>
          <t>2026-03-05</t>
        </is>
      </c>
      <c r="U433" t="inlineStr">
        <is>
          <t>Seed=Medzell; Seed-file: output/medzell_company_urls.txt</t>
        </is>
      </c>
    </row>
    <row r="434">
      <c r="A434" t="n">
        <v>433</v>
      </c>
      <c r="B434" t="inlineStr">
        <is>
          <t>YASHIKA ENTERPRISES: Leading Manufacturers and Global Exporters of Hospital Products in India</t>
        </is>
      </c>
      <c r="C434" t="inlineStr"/>
      <c r="D434" t="inlineStr">
        <is>
          <t>Manufacturer</t>
        </is>
      </c>
      <c r="E434" t="inlineStr">
        <is>
          <t>PPE</t>
        </is>
      </c>
      <c r="F434" t="inlineStr">
        <is>
          <t>Wound Care, Lab Consumables, Syringes &amp; Needles, IV Infusion Sets, Gauze &amp; Bandages, Disinfectants, IV Cannulas, Catheters</t>
        </is>
      </c>
      <c r="G434" t="inlineStr"/>
      <c r="H434" t="inlineStr">
        <is>
          <t>https://www.medzell.net/main-categories-application/therapeutic-devices/</t>
        </is>
      </c>
      <c r="I434" t="inlineStr">
        <is>
          <t>yashika.enterprise18@gmail.com</t>
        </is>
      </c>
      <c r="L434" t="inlineStr">
        <is>
          <t>Stated</t>
        </is>
      </c>
      <c r="M434" t="inlineStr"/>
      <c r="N434" t="inlineStr">
        <is>
          <t>TUV</t>
        </is>
      </c>
      <c r="O434" t="inlineStr">
        <is>
          <t>https://www.medzell.net/company/yashika-enterprises/</t>
        </is>
      </c>
      <c r="Q434" t="n">
        <v>30</v>
      </c>
      <c r="R434">
        <f>IF(Q434="","",IF(Q434&gt;=60,"HIGH",IF(Q434&gt;=30,"MEDIUM","LOW")))</f>
        <v/>
      </c>
      <c r="S434" t="inlineStr">
        <is>
          <t>New</t>
        </is>
      </c>
      <c r="T434" t="inlineStr">
        <is>
          <t>2026-03-05</t>
        </is>
      </c>
      <c r="U434" t="inlineStr">
        <is>
          <t>Seed=Medzell; Seed-file: output/medzell_company_urls.txt</t>
        </is>
      </c>
    </row>
    <row r="435">
      <c r="A435" t="n">
        <v>434</v>
      </c>
      <c r="B435" t="inlineStr">
        <is>
          <t>ZAPOVIT: Leading Manufacturer of Surgical, Diagnostic, Therapeutic &amp; Rehabilitation Equipment</t>
        </is>
      </c>
      <c r="C435" t="inlineStr"/>
      <c r="D435" t="inlineStr">
        <is>
          <t>Manufacturer</t>
        </is>
      </c>
      <c r="E435" t="inlineStr">
        <is>
          <t>PPE</t>
        </is>
      </c>
      <c r="F435" t="inlineStr">
        <is>
          <t>Wound Care, Lab Consumables, Syringes &amp; Needles, IV Infusion Sets, Gauze &amp; Bandages, Disinfectants, IV Cannulas, Catheters</t>
        </is>
      </c>
      <c r="G435" t="inlineStr"/>
      <c r="H435" t="inlineStr">
        <is>
          <t>https://www.medzell.net/main-categories-application/therapeutic-devices/</t>
        </is>
      </c>
      <c r="I435" t="inlineStr">
        <is>
          <t>zavet.trade@gmail.com</t>
        </is>
      </c>
      <c r="L435" t="inlineStr"/>
      <c r="M435" t="inlineStr"/>
      <c r="N435" t="inlineStr">
        <is>
          <t>TUV</t>
        </is>
      </c>
      <c r="O435" t="inlineStr">
        <is>
          <t>https://www.medzell.net/company/zapovit/</t>
        </is>
      </c>
      <c r="Q435" t="n">
        <v>45</v>
      </c>
      <c r="R435">
        <f>IF(Q435="","",IF(Q435&gt;=60,"HIGH",IF(Q435&gt;=30,"MEDIUM","LOW")))</f>
        <v/>
      </c>
      <c r="S435" t="inlineStr">
        <is>
          <t>New</t>
        </is>
      </c>
      <c r="T435" t="inlineStr">
        <is>
          <t>2026-03-05</t>
        </is>
      </c>
      <c r="U435" t="inlineStr">
        <is>
          <t>Seed=Medzell; Seed-file: output/medzell_company_urls.txt</t>
        </is>
      </c>
    </row>
    <row r="436">
      <c r="A436" t="n">
        <v>435</v>
      </c>
      <c r="B436" t="inlineStr">
        <is>
          <t>Leading Manufacturer of Neonatal Care Equipment | Zeal Medical Pvt. Ltd.</t>
        </is>
      </c>
      <c r="C436" t="inlineStr"/>
      <c r="D436" t="inlineStr">
        <is>
          <t>Manufacturer</t>
        </is>
      </c>
      <c r="E436" t="inlineStr">
        <is>
          <t>PPE</t>
        </is>
      </c>
      <c r="F436" t="inlineStr">
        <is>
          <t>Wound Care, Lab Consumables, Syringes &amp; Needles, IV Infusion Sets, Gauze &amp; Bandages, Disinfectants, IV Cannulas, Catheters</t>
        </is>
      </c>
      <c r="G436" t="inlineStr"/>
      <c r="H436" t="inlineStr">
        <is>
          <t>https://www.medzell.net/main-categories-application/therapeutic-devices/</t>
        </is>
      </c>
      <c r="I436" t="inlineStr">
        <is>
          <t>info@zealmedical.com</t>
        </is>
      </c>
      <c r="L436" t="inlineStr">
        <is>
          <t>Stated</t>
        </is>
      </c>
      <c r="M436" t="inlineStr"/>
      <c r="N436" t="inlineStr">
        <is>
          <t>TUV</t>
        </is>
      </c>
      <c r="O436" t="inlineStr">
        <is>
          <t>https://www.medzell.net/company/zeal-medical-pvt-ltd/</t>
        </is>
      </c>
      <c r="Q436" t="n">
        <v>10</v>
      </c>
      <c r="R436">
        <f>IF(Q436="","",IF(Q436&gt;=60,"HIGH",IF(Q436&gt;=30,"MEDIUM","LOW")))</f>
        <v/>
      </c>
      <c r="S436" t="inlineStr">
        <is>
          <t>New</t>
        </is>
      </c>
      <c r="T436" t="inlineStr">
        <is>
          <t>2026-03-05</t>
        </is>
      </c>
      <c r="U436" t="inlineStr">
        <is>
          <t>Seed=Medzell; Seed-file: output/medzell_company_urls.txt</t>
        </is>
      </c>
    </row>
    <row r="437">
      <c r="A437" t="n">
        <v>436</v>
      </c>
      <c r="B437" t="inlineStr">
        <is>
          <t>Zealway Instruments – Expert Manufacturer of Autoclaves &amp; Sterilization Equipment</t>
        </is>
      </c>
      <c r="C437" t="inlineStr"/>
      <c r="D437" t="inlineStr">
        <is>
          <t>Manufacturer</t>
        </is>
      </c>
      <c r="E437" t="inlineStr">
        <is>
          <t>PPE</t>
        </is>
      </c>
      <c r="F437" t="inlineStr">
        <is>
          <t>Wound Care, Lab Consumables, Syringes &amp; Needles, IV Infusion Sets, Gauze &amp; Bandages, Disinfectants, IV Cannulas, Catheters</t>
        </is>
      </c>
      <c r="G437" t="inlineStr"/>
      <c r="H437" t="inlineStr">
        <is>
          <t>https://www.medzell.net/main-categories-application/therapeutic-devices/</t>
        </is>
      </c>
      <c r="I437" t="inlineStr">
        <is>
          <t>anatolylin@zealway.com.cn</t>
        </is>
      </c>
      <c r="L437" t="inlineStr">
        <is>
          <t>Stated</t>
        </is>
      </c>
      <c r="M437" t="inlineStr"/>
      <c r="N437" t="inlineStr">
        <is>
          <t>TUV</t>
        </is>
      </c>
      <c r="O437" t="inlineStr">
        <is>
          <t>https://www.medzell.net/company/zealway-xiamen-instrument-inc/</t>
        </is>
      </c>
      <c r="Q437" t="n">
        <v>10</v>
      </c>
      <c r="R437">
        <f>IF(Q437="","",IF(Q437&gt;=60,"HIGH",IF(Q437&gt;=30,"MEDIUM","LOW")))</f>
        <v/>
      </c>
      <c r="S437" t="inlineStr">
        <is>
          <t>New</t>
        </is>
      </c>
      <c r="T437" t="inlineStr">
        <is>
          <t>2026-03-05</t>
        </is>
      </c>
      <c r="U437" t="inlineStr">
        <is>
          <t>Seed=Medzell; Seed-file: output/medzell_company_urls.txt</t>
        </is>
      </c>
    </row>
    <row r="438">
      <c r="A438" t="n">
        <v>437</v>
      </c>
      <c r="B438" t="inlineStr">
        <is>
          <t>Leading Manufacturer of Custom Medical Instruments | Zhejiang Fucon Medical Co., Ltd.</t>
        </is>
      </c>
      <c r="C438" t="inlineStr"/>
      <c r="D438" t="inlineStr">
        <is>
          <t>Manufacturer</t>
        </is>
      </c>
      <c r="E438" t="inlineStr">
        <is>
          <t>PPE</t>
        </is>
      </c>
      <c r="F438" t="inlineStr">
        <is>
          <t>Wound Care, Lab Consumables, Syringes &amp; Needles, IV Infusion Sets, Gauze &amp; Bandages, Disinfectants, IV Cannulas, Catheters</t>
        </is>
      </c>
      <c r="G438" t="inlineStr"/>
      <c r="H438" t="inlineStr">
        <is>
          <t>https://www.medzell.net/main-categories-application/therapeutic-devices/</t>
        </is>
      </c>
      <c r="I438" t="inlineStr">
        <is>
          <t>fuconmed@gmail.com</t>
        </is>
      </c>
      <c r="L438" t="inlineStr">
        <is>
          <t>Stated</t>
        </is>
      </c>
      <c r="M438" t="inlineStr"/>
      <c r="N438" t="inlineStr">
        <is>
          <t>TUV</t>
        </is>
      </c>
      <c r="O438" t="inlineStr">
        <is>
          <t>https://www.medzell.net/company/zhejiang-fucon-medical-coltd/</t>
        </is>
      </c>
      <c r="Q438" t="n">
        <v>30</v>
      </c>
      <c r="R438">
        <f>IF(Q438="","",IF(Q438&gt;=60,"HIGH",IF(Q438&gt;=30,"MEDIUM","LOW")))</f>
        <v/>
      </c>
      <c r="S438" t="inlineStr">
        <is>
          <t>New</t>
        </is>
      </c>
      <c r="T438" t="inlineStr">
        <is>
          <t>2026-03-05</t>
        </is>
      </c>
      <c r="U438" t="inlineStr">
        <is>
          <t>Seed=Medzell; Seed-file: output/medzell_company_urls.txt</t>
        </is>
      </c>
    </row>
    <row r="439">
      <c r="A439" t="n">
        <v>438</v>
      </c>
      <c r="B439" t="inlineStr">
        <is>
          <t>Zhonghong Pulin Medical – Innovation &amp; Manufacturing Excellence in Healthcare</t>
        </is>
      </c>
      <c r="C439" t="inlineStr"/>
      <c r="D439" t="inlineStr">
        <is>
          <t>Manufacturer</t>
        </is>
      </c>
      <c r="E439" t="inlineStr">
        <is>
          <t>PPE</t>
        </is>
      </c>
      <c r="F439" t="inlineStr">
        <is>
          <t>Wound Care, Lab Consumables, Syringes &amp; Needles, IV Infusion Sets, Gloves, Gauze &amp; Bandages, Disinfectants, IV Cannulas, Catheters</t>
        </is>
      </c>
      <c r="G439" t="inlineStr"/>
      <c r="H439" t="inlineStr">
        <is>
          <t>https://www.medzell.net/main-categories-application/therapeutic-devices/</t>
        </is>
      </c>
      <c r="I439" t="inlineStr">
        <is>
          <t>scarlett@zhonghongpulin.cn</t>
        </is>
      </c>
      <c r="L439" t="inlineStr">
        <is>
          <t>Stated</t>
        </is>
      </c>
      <c r="M439" t="inlineStr"/>
      <c r="N439" t="inlineStr">
        <is>
          <t>FDA, TUV</t>
        </is>
      </c>
      <c r="O439" t="inlineStr">
        <is>
          <t>https://www.medzell.net/company/zhonghong-pulin-medical-product-co-ltd/</t>
        </is>
      </c>
      <c r="Q439" t="n">
        <v>10</v>
      </c>
      <c r="R439">
        <f>IF(Q439="","",IF(Q439&gt;=60,"HIGH",IF(Q439&gt;=30,"MEDIUM","LOW")))</f>
        <v/>
      </c>
      <c r="S439" t="inlineStr">
        <is>
          <t>New</t>
        </is>
      </c>
      <c r="T439" t="inlineStr">
        <is>
          <t>2026-03-05</t>
        </is>
      </c>
      <c r="U439" t="inlineStr">
        <is>
          <t>Seed=Medzell; Seed-file: output/medzell_company_urls.txt</t>
        </is>
      </c>
    </row>
    <row r="440">
      <c r="A440" t="n">
        <v>439</v>
      </c>
      <c r="B440" t="inlineStr">
        <is>
          <t>Zhuhai Seesheen Medical Technology Co., Ltd. | Global Innovator in Portable Video Endoscopes</t>
        </is>
      </c>
      <c r="C440" t="inlineStr"/>
      <c r="D440" t="inlineStr">
        <is>
          <t>Manufacturer</t>
        </is>
      </c>
      <c r="E440" t="inlineStr">
        <is>
          <t>PPE</t>
        </is>
      </c>
      <c r="F440" t="inlineStr">
        <is>
          <t>Wound Care, Lab Consumables, Syringes &amp; Needles, IV Infusion Sets, Catheters, Gauze &amp; Bandages, Disinfectants, IV Cannulas</t>
        </is>
      </c>
      <c r="G440" t="inlineStr"/>
      <c r="H440" t="inlineStr">
        <is>
          <t>https://www.medzell.net/main-categories-application/therapeutic-devices/</t>
        </is>
      </c>
      <c r="I440" t="inlineStr">
        <is>
          <t>sales30@seesheen.com</t>
        </is>
      </c>
      <c r="L440" t="inlineStr">
        <is>
          <t>Stated</t>
        </is>
      </c>
      <c r="M440" t="inlineStr"/>
      <c r="N440" t="inlineStr">
        <is>
          <t>TUV</t>
        </is>
      </c>
      <c r="O440" t="inlineStr">
        <is>
          <t>https://www.medzell.net/company/zhuhai-seesheen-medical-technology-co-ltd/</t>
        </is>
      </c>
      <c r="Q440" t="n">
        <v>10</v>
      </c>
      <c r="R440">
        <f>IF(Q440="","",IF(Q440&gt;=60,"HIGH",IF(Q440&gt;=30,"MEDIUM","LOW")))</f>
        <v/>
      </c>
      <c r="S440" t="inlineStr">
        <is>
          <t>New</t>
        </is>
      </c>
      <c r="T440" t="inlineStr">
        <is>
          <t>2026-03-05</t>
        </is>
      </c>
      <c r="U440" t="inlineStr">
        <is>
          <t>Seed=Medzell; Seed-file: output/medzell_company_urls.txt</t>
        </is>
      </c>
    </row>
    <row r="441">
      <c r="A441" t="n">
        <v>440</v>
      </c>
      <c r="B441" t="inlineStr">
        <is>
          <t>Zimed Medical: Leading Manufacturer of Orthopedic Implants &amp; Instruments</t>
        </is>
      </c>
      <c r="C441" t="inlineStr"/>
      <c r="D441" t="inlineStr">
        <is>
          <t>Manufacturer</t>
        </is>
      </c>
      <c r="E441" t="inlineStr">
        <is>
          <t>PPE</t>
        </is>
      </c>
      <c r="F441" t="inlineStr">
        <is>
          <t>Wound Care, Lab Consumables, Syringes &amp; Needles, IV Infusion Sets, Gauze &amp; Bandages, Disinfectants, IV Cannulas, Catheters</t>
        </is>
      </c>
      <c r="G441" t="inlineStr"/>
      <c r="H441" t="inlineStr">
        <is>
          <t>https://www.medzell.net/main-categories-application/therapeutic-devices/</t>
        </is>
      </c>
      <c r="I441" t="inlineStr">
        <is>
          <t>export@zimed.com.tr</t>
        </is>
      </c>
      <c r="L441" t="inlineStr">
        <is>
          <t>Stated</t>
        </is>
      </c>
      <c r="M441" t="inlineStr"/>
      <c r="N441" t="inlineStr">
        <is>
          <t>FDA, TUV</t>
        </is>
      </c>
      <c r="O441" t="inlineStr">
        <is>
          <t>https://www.medzell.net/company/zimed-medikal-san-ve-tic-ltd-sti/</t>
        </is>
      </c>
      <c r="Q441" t="n">
        <v>10</v>
      </c>
      <c r="R441">
        <f>IF(Q441="","",IF(Q441&gt;=60,"HIGH",IF(Q441&gt;=30,"MEDIUM","LOW")))</f>
        <v/>
      </c>
      <c r="S441" t="inlineStr">
        <is>
          <t>New</t>
        </is>
      </c>
      <c r="T441" t="inlineStr">
        <is>
          <t>2026-03-05</t>
        </is>
      </c>
      <c r="U441" t="inlineStr">
        <is>
          <t>Seed=Medzell; Seed-file: output/medzell_company_urls.txt</t>
        </is>
      </c>
    </row>
    <row r="442">
      <c r="A442" t="n">
        <v>441</v>
      </c>
      <c r="B442" t="inlineStr">
        <is>
          <t>ZyGene Biotechnologies – Revolutionizing Molecular Diagnostics &amp; Nucleic Acid Extraction</t>
        </is>
      </c>
      <c r="C442" t="inlineStr"/>
      <c r="D442" t="inlineStr">
        <is>
          <t>Manufacturer</t>
        </is>
      </c>
      <c r="E442" t="inlineStr">
        <is>
          <t>PPE</t>
        </is>
      </c>
      <c r="F442" t="inlineStr">
        <is>
          <t>Wound Care, Lab Consumables, Syringes &amp; Needles, IV Infusion Sets, Gauze &amp; Bandages, Disinfectants, IV Cannulas, Catheters</t>
        </is>
      </c>
      <c r="G442" t="inlineStr"/>
      <c r="H442" t="inlineStr">
        <is>
          <t>https://www.medzell.net/main-categories-application/therapeutic-devices/</t>
        </is>
      </c>
      <c r="I442" t="inlineStr">
        <is>
          <t>product.zygene@gmail.com</t>
        </is>
      </c>
      <c r="L442" t="inlineStr">
        <is>
          <t>Stated</t>
        </is>
      </c>
      <c r="M442" t="inlineStr"/>
      <c r="N442" t="inlineStr">
        <is>
          <t>TUV</t>
        </is>
      </c>
      <c r="O442" t="inlineStr">
        <is>
          <t>https://www.medzell.net/company/zygene-biotechnologies-p-ltd/</t>
        </is>
      </c>
      <c r="Q442" t="n">
        <v>30</v>
      </c>
      <c r="R442">
        <f>IF(Q442="","",IF(Q442&gt;=60,"HIGH",IF(Q442&gt;=30,"MEDIUM","LOW")))</f>
        <v/>
      </c>
      <c r="S442" t="inlineStr">
        <is>
          <t>New</t>
        </is>
      </c>
      <c r="T442" t="inlineStr">
        <is>
          <t>2026-03-05</t>
        </is>
      </c>
      <c r="U442" t="inlineStr">
        <is>
          <t>Seed=Medzell; Seed-file: output/medzell_company_urls.txt</t>
        </is>
      </c>
    </row>
    <row r="443">
      <c r="A443" t="n">
        <v>442</v>
      </c>
      <c r="R443">
        <f>IF(Q443="","",IF(Q443&gt;=60,"HIGH",IF(Q443&gt;=30,"MEDIUM","LOW")))</f>
        <v/>
      </c>
    </row>
    <row r="444">
      <c r="A444" t="n">
        <v>443</v>
      </c>
      <c r="R444">
        <f>IF(Q444="","",IF(Q444&gt;=60,"HIGH",IF(Q444&gt;=30,"MEDIUM","LOW")))</f>
        <v/>
      </c>
    </row>
    <row r="445">
      <c r="A445" t="n">
        <v>444</v>
      </c>
      <c r="R445">
        <f>IF(Q445="","",IF(Q445&gt;=60,"HIGH",IF(Q445&gt;=30,"MEDIUM","LOW")))</f>
        <v/>
      </c>
    </row>
    <row r="446">
      <c r="A446" t="n">
        <v>445</v>
      </c>
      <c r="R446">
        <f>IF(Q446="","",IF(Q446&gt;=60,"HIGH",IF(Q446&gt;=30,"MEDIUM","LOW")))</f>
        <v/>
      </c>
    </row>
    <row r="447">
      <c r="A447" t="n">
        <v>446</v>
      </c>
      <c r="R447">
        <f>IF(Q447="","",IF(Q447&gt;=60,"HIGH",IF(Q447&gt;=30,"MEDIUM","LOW")))</f>
        <v/>
      </c>
    </row>
    <row r="448">
      <c r="A448" t="n">
        <v>447</v>
      </c>
      <c r="R448">
        <f>IF(Q448="","",IF(Q448&gt;=60,"HIGH",IF(Q448&gt;=30,"MEDIUM","LOW")))</f>
        <v/>
      </c>
    </row>
    <row r="449">
      <c r="A449" t="n">
        <v>448</v>
      </c>
      <c r="R449">
        <f>IF(Q449="","",IF(Q449&gt;=60,"HIGH",IF(Q449&gt;=30,"MEDIUM","LOW")))</f>
        <v/>
      </c>
    </row>
    <row r="450">
      <c r="A450" t="n">
        <v>449</v>
      </c>
      <c r="R450">
        <f>IF(Q450="","",IF(Q450&gt;=60,"HIGH",IF(Q450&gt;=30,"MEDIUM","LOW")))</f>
        <v/>
      </c>
    </row>
    <row r="451">
      <c r="A451" t="n">
        <v>450</v>
      </c>
      <c r="R451">
        <f>IF(Q451="","",IF(Q451&gt;=60,"HIGH",IF(Q451&gt;=30,"MEDIUM","LOW")))</f>
        <v/>
      </c>
    </row>
    <row r="452">
      <c r="A452" t="n">
        <v>451</v>
      </c>
      <c r="R452">
        <f>IF(Q452="","",IF(Q452&gt;=60,"HIGH",IF(Q452&gt;=30,"MEDIUM","LOW")))</f>
        <v/>
      </c>
    </row>
    <row r="453">
      <c r="A453" t="n">
        <v>452</v>
      </c>
      <c r="R453">
        <f>IF(Q453="","",IF(Q453&gt;=60,"HIGH",IF(Q453&gt;=30,"MEDIUM","LOW")))</f>
        <v/>
      </c>
    </row>
    <row r="454">
      <c r="A454" t="n">
        <v>453</v>
      </c>
      <c r="R454">
        <f>IF(Q454="","",IF(Q454&gt;=60,"HIGH",IF(Q454&gt;=30,"MEDIUM","LOW")))</f>
        <v/>
      </c>
    </row>
    <row r="455">
      <c r="A455" t="n">
        <v>454</v>
      </c>
      <c r="R455">
        <f>IF(Q455="","",IF(Q455&gt;=60,"HIGH",IF(Q455&gt;=30,"MEDIUM","LOW")))</f>
        <v/>
      </c>
    </row>
    <row r="456">
      <c r="A456" t="n">
        <v>455</v>
      </c>
      <c r="R456">
        <f>IF(Q456="","",IF(Q456&gt;=60,"HIGH",IF(Q456&gt;=30,"MEDIUM","LOW")))</f>
        <v/>
      </c>
    </row>
    <row r="457">
      <c r="A457" t="n">
        <v>456</v>
      </c>
      <c r="R457">
        <f>IF(Q457="","",IF(Q457&gt;=60,"HIGH",IF(Q457&gt;=30,"MEDIUM","LOW")))</f>
        <v/>
      </c>
    </row>
    <row r="458">
      <c r="A458" t="n">
        <v>457</v>
      </c>
      <c r="R458">
        <f>IF(Q458="","",IF(Q458&gt;=60,"HIGH",IF(Q458&gt;=30,"MEDIUM","LOW")))</f>
        <v/>
      </c>
    </row>
    <row r="459">
      <c r="A459" t="n">
        <v>458</v>
      </c>
      <c r="R459">
        <f>IF(Q459="","",IF(Q459&gt;=60,"HIGH",IF(Q459&gt;=30,"MEDIUM","LOW")))</f>
        <v/>
      </c>
    </row>
    <row r="460">
      <c r="A460" t="n">
        <v>459</v>
      </c>
      <c r="R460">
        <f>IF(Q460="","",IF(Q460&gt;=60,"HIGH",IF(Q460&gt;=30,"MEDIUM","LOW")))</f>
        <v/>
      </c>
    </row>
    <row r="461">
      <c r="A461" t="n">
        <v>460</v>
      </c>
      <c r="R461">
        <f>IF(Q461="","",IF(Q461&gt;=60,"HIGH",IF(Q461&gt;=30,"MEDIUM","LOW")))</f>
        <v/>
      </c>
    </row>
    <row r="462">
      <c r="A462" t="n">
        <v>461</v>
      </c>
      <c r="R462">
        <f>IF(Q462="","",IF(Q462&gt;=60,"HIGH",IF(Q462&gt;=30,"MEDIUM","LOW")))</f>
        <v/>
      </c>
    </row>
    <row r="463">
      <c r="A463" t="n">
        <v>462</v>
      </c>
      <c r="R463">
        <f>IF(Q463="","",IF(Q463&gt;=60,"HIGH",IF(Q463&gt;=30,"MEDIUM","LOW")))</f>
        <v/>
      </c>
    </row>
    <row r="464">
      <c r="A464" t="n">
        <v>463</v>
      </c>
      <c r="R464">
        <f>IF(Q464="","",IF(Q464&gt;=60,"HIGH",IF(Q464&gt;=30,"MEDIUM","LOW")))</f>
        <v/>
      </c>
    </row>
    <row r="465">
      <c r="A465" t="n">
        <v>464</v>
      </c>
      <c r="R465">
        <f>IF(Q465="","",IF(Q465&gt;=60,"HIGH",IF(Q465&gt;=30,"MEDIUM","LOW")))</f>
        <v/>
      </c>
    </row>
    <row r="466">
      <c r="A466" t="n">
        <v>465</v>
      </c>
      <c r="R466">
        <f>IF(Q466="","",IF(Q466&gt;=60,"HIGH",IF(Q466&gt;=30,"MEDIUM","LOW")))</f>
        <v/>
      </c>
    </row>
    <row r="467">
      <c r="A467" t="n">
        <v>466</v>
      </c>
      <c r="R467">
        <f>IF(Q467="","",IF(Q467&gt;=60,"HIGH",IF(Q467&gt;=30,"MEDIUM","LOW")))</f>
        <v/>
      </c>
    </row>
    <row r="468">
      <c r="A468" t="n">
        <v>467</v>
      </c>
      <c r="R468">
        <f>IF(Q468="","",IF(Q468&gt;=60,"HIGH",IF(Q468&gt;=30,"MEDIUM","LOW")))</f>
        <v/>
      </c>
    </row>
    <row r="469">
      <c r="A469" t="n">
        <v>468</v>
      </c>
      <c r="R469">
        <f>IF(Q469="","",IF(Q469&gt;=60,"HIGH",IF(Q469&gt;=30,"MEDIUM","LOW")))</f>
        <v/>
      </c>
    </row>
    <row r="470">
      <c r="A470" t="n">
        <v>469</v>
      </c>
      <c r="R470">
        <f>IF(Q470="","",IF(Q470&gt;=60,"HIGH",IF(Q470&gt;=30,"MEDIUM","LOW")))</f>
        <v/>
      </c>
    </row>
    <row r="471">
      <c r="A471" t="n">
        <v>470</v>
      </c>
      <c r="R471">
        <f>IF(Q471="","",IF(Q471&gt;=60,"HIGH",IF(Q471&gt;=30,"MEDIUM","LOW")))</f>
        <v/>
      </c>
    </row>
    <row r="472">
      <c r="A472" t="n">
        <v>471</v>
      </c>
      <c r="R472">
        <f>IF(Q472="","",IF(Q472&gt;=60,"HIGH",IF(Q472&gt;=30,"MEDIUM","LOW")))</f>
        <v/>
      </c>
    </row>
    <row r="473">
      <c r="A473" t="n">
        <v>472</v>
      </c>
      <c r="R473">
        <f>IF(Q473="","",IF(Q473&gt;=60,"HIGH",IF(Q473&gt;=30,"MEDIUM","LOW")))</f>
        <v/>
      </c>
    </row>
    <row r="474">
      <c r="A474" t="n">
        <v>473</v>
      </c>
      <c r="R474">
        <f>IF(Q474="","",IF(Q474&gt;=60,"HIGH",IF(Q474&gt;=30,"MEDIUM","LOW")))</f>
        <v/>
      </c>
    </row>
    <row r="475">
      <c r="A475" t="n">
        <v>474</v>
      </c>
      <c r="R475">
        <f>IF(Q475="","",IF(Q475&gt;=60,"HIGH",IF(Q475&gt;=30,"MEDIUM","LOW")))</f>
        <v/>
      </c>
    </row>
    <row r="476">
      <c r="A476" t="n">
        <v>475</v>
      </c>
      <c r="R476">
        <f>IF(Q476="","",IF(Q476&gt;=60,"HIGH",IF(Q476&gt;=30,"MEDIUM","LOW")))</f>
        <v/>
      </c>
    </row>
    <row r="477">
      <c r="A477" t="n">
        <v>476</v>
      </c>
      <c r="R477">
        <f>IF(Q477="","",IF(Q477&gt;=60,"HIGH",IF(Q477&gt;=30,"MEDIUM","LOW")))</f>
        <v/>
      </c>
    </row>
    <row r="478">
      <c r="A478" t="n">
        <v>477</v>
      </c>
      <c r="R478">
        <f>IF(Q478="","",IF(Q478&gt;=60,"HIGH",IF(Q478&gt;=30,"MEDIUM","LOW")))</f>
        <v/>
      </c>
    </row>
    <row r="479">
      <c r="A479" t="n">
        <v>478</v>
      </c>
      <c r="R479">
        <f>IF(Q479="","",IF(Q479&gt;=60,"HIGH",IF(Q479&gt;=30,"MEDIUM","LOW")))</f>
        <v/>
      </c>
    </row>
    <row r="480">
      <c r="A480" t="n">
        <v>479</v>
      </c>
      <c r="R480">
        <f>IF(Q480="","",IF(Q480&gt;=60,"HIGH",IF(Q480&gt;=30,"MEDIUM","LOW")))</f>
        <v/>
      </c>
    </row>
    <row r="481">
      <c r="A481" t="n">
        <v>480</v>
      </c>
      <c r="R481">
        <f>IF(Q481="","",IF(Q481&gt;=60,"HIGH",IF(Q481&gt;=30,"MEDIUM","LOW")))</f>
        <v/>
      </c>
    </row>
    <row r="482">
      <c r="A482" t="n">
        <v>481</v>
      </c>
      <c r="R482">
        <f>IF(Q482="","",IF(Q482&gt;=60,"HIGH",IF(Q482&gt;=30,"MEDIUM","LOW")))</f>
        <v/>
      </c>
    </row>
    <row r="483">
      <c r="A483" t="n">
        <v>482</v>
      </c>
      <c r="R483">
        <f>IF(Q483="","",IF(Q483&gt;=60,"HIGH",IF(Q483&gt;=30,"MEDIUM","LOW")))</f>
        <v/>
      </c>
    </row>
    <row r="484">
      <c r="A484" t="n">
        <v>483</v>
      </c>
      <c r="R484">
        <f>IF(Q484="","",IF(Q484&gt;=60,"HIGH",IF(Q484&gt;=30,"MEDIUM","LOW")))</f>
        <v/>
      </c>
    </row>
    <row r="485">
      <c r="A485" t="n">
        <v>484</v>
      </c>
      <c r="R485">
        <f>IF(Q485="","",IF(Q485&gt;=60,"HIGH",IF(Q485&gt;=30,"MEDIUM","LOW")))</f>
        <v/>
      </c>
    </row>
    <row r="486">
      <c r="A486" t="n">
        <v>485</v>
      </c>
      <c r="R486">
        <f>IF(Q486="","",IF(Q486&gt;=60,"HIGH",IF(Q486&gt;=30,"MEDIUM","LOW")))</f>
        <v/>
      </c>
    </row>
    <row r="487">
      <c r="A487" t="n">
        <v>486</v>
      </c>
      <c r="R487">
        <f>IF(Q487="","",IF(Q487&gt;=60,"HIGH",IF(Q487&gt;=30,"MEDIUM","LOW")))</f>
        <v/>
      </c>
    </row>
    <row r="488">
      <c r="A488" t="n">
        <v>487</v>
      </c>
      <c r="R488">
        <f>IF(Q488="","",IF(Q488&gt;=60,"HIGH",IF(Q488&gt;=30,"MEDIUM","LOW")))</f>
        <v/>
      </c>
    </row>
    <row r="489">
      <c r="A489" t="n">
        <v>488</v>
      </c>
      <c r="R489">
        <f>IF(Q489="","",IF(Q489&gt;=60,"HIGH",IF(Q489&gt;=30,"MEDIUM","LOW")))</f>
        <v/>
      </c>
    </row>
    <row r="490">
      <c r="A490" t="n">
        <v>489</v>
      </c>
      <c r="R490">
        <f>IF(Q490="","",IF(Q490&gt;=60,"HIGH",IF(Q490&gt;=30,"MEDIUM","LOW")))</f>
        <v/>
      </c>
    </row>
    <row r="491">
      <c r="A491" t="n">
        <v>490</v>
      </c>
      <c r="R491">
        <f>IF(Q491="","",IF(Q491&gt;=60,"HIGH",IF(Q491&gt;=30,"MEDIUM","LOW")))</f>
        <v/>
      </c>
    </row>
    <row r="492">
      <c r="A492" t="n">
        <v>491</v>
      </c>
      <c r="R492">
        <f>IF(Q492="","",IF(Q492&gt;=60,"HIGH",IF(Q492&gt;=30,"MEDIUM","LOW")))</f>
        <v/>
      </c>
    </row>
    <row r="493">
      <c r="A493" t="n">
        <v>492</v>
      </c>
      <c r="R493">
        <f>IF(Q493="","",IF(Q493&gt;=60,"HIGH",IF(Q493&gt;=30,"MEDIUM","LOW")))</f>
        <v/>
      </c>
    </row>
    <row r="494">
      <c r="A494" t="n">
        <v>493</v>
      </c>
      <c r="R494">
        <f>IF(Q494="","",IF(Q494&gt;=60,"HIGH",IF(Q494&gt;=30,"MEDIUM","LOW")))</f>
        <v/>
      </c>
    </row>
    <row r="495">
      <c r="A495" t="n">
        <v>494</v>
      </c>
      <c r="R495">
        <f>IF(Q495="","",IF(Q495&gt;=60,"HIGH",IF(Q495&gt;=30,"MEDIUM","LOW")))</f>
        <v/>
      </c>
    </row>
    <row r="496">
      <c r="A496" t="n">
        <v>495</v>
      </c>
      <c r="R496">
        <f>IF(Q496="","",IF(Q496&gt;=60,"HIGH",IF(Q496&gt;=30,"MEDIUM","LOW")))</f>
        <v/>
      </c>
    </row>
    <row r="497">
      <c r="A497" t="n">
        <v>496</v>
      </c>
      <c r="R497">
        <f>IF(Q497="","",IF(Q497&gt;=60,"HIGH",IF(Q497&gt;=30,"MEDIUM","LOW")))</f>
        <v/>
      </c>
    </row>
    <row r="498">
      <c r="A498" t="n">
        <v>497</v>
      </c>
      <c r="R498">
        <f>IF(Q498="","",IF(Q498&gt;=60,"HIGH",IF(Q498&gt;=30,"MEDIUM","LOW")))</f>
        <v/>
      </c>
    </row>
    <row r="499">
      <c r="A499" t="n">
        <v>498</v>
      </c>
      <c r="R499">
        <f>IF(Q499="","",IF(Q499&gt;=60,"HIGH",IF(Q499&gt;=30,"MEDIUM","LOW")))</f>
        <v/>
      </c>
    </row>
    <row r="500">
      <c r="A500" t="n">
        <v>499</v>
      </c>
      <c r="R500">
        <f>IF(Q500="","",IF(Q500&gt;=60,"HIGH",IF(Q500&gt;=30,"MEDIUM","LOW")))</f>
        <v/>
      </c>
    </row>
    <row r="501">
      <c r="A501" t="n">
        <v>500</v>
      </c>
      <c r="R501">
        <f>IF(Q501="","",IF(Q501&gt;=60,"HIGH",IF(Q501&gt;=30,"MEDIUM","LOW")))</f>
        <v/>
      </c>
    </row>
    <row r="502">
      <c r="A502" t="n">
        <v>501</v>
      </c>
      <c r="R502">
        <f>IF(Q502="","",IF(Q502&gt;=60,"HIGH",IF(Q502&gt;=30,"MEDIUM","LOW")))</f>
        <v/>
      </c>
    </row>
    <row r="503">
      <c r="A503" t="n">
        <v>502</v>
      </c>
      <c r="R503">
        <f>IF(Q503="","",IF(Q503&gt;=60,"HIGH",IF(Q503&gt;=30,"MEDIUM","LOW")))</f>
        <v/>
      </c>
    </row>
    <row r="504">
      <c r="A504" t="n">
        <v>503</v>
      </c>
      <c r="R504">
        <f>IF(Q504="","",IF(Q504&gt;=60,"HIGH",IF(Q504&gt;=30,"MEDIUM","LOW")))</f>
        <v/>
      </c>
    </row>
    <row r="505">
      <c r="A505" t="n">
        <v>504</v>
      </c>
      <c r="R505">
        <f>IF(Q505="","",IF(Q505&gt;=60,"HIGH",IF(Q505&gt;=30,"MEDIUM","LOW")))</f>
        <v/>
      </c>
    </row>
    <row r="506">
      <c r="A506" t="n">
        <v>505</v>
      </c>
      <c r="R506">
        <f>IF(Q506="","",IF(Q506&gt;=60,"HIGH",IF(Q506&gt;=30,"MEDIUM","LOW")))</f>
        <v/>
      </c>
    </row>
    <row r="507">
      <c r="A507" t="n">
        <v>506</v>
      </c>
      <c r="R507">
        <f>IF(Q507="","",IF(Q507&gt;=60,"HIGH",IF(Q507&gt;=30,"MEDIUM","LOW")))</f>
        <v/>
      </c>
    </row>
    <row r="508">
      <c r="A508" t="n">
        <v>507</v>
      </c>
      <c r="R508">
        <f>IF(Q508="","",IF(Q508&gt;=60,"HIGH",IF(Q508&gt;=30,"MEDIUM","LOW")))</f>
        <v/>
      </c>
    </row>
    <row r="509">
      <c r="A509" t="n">
        <v>508</v>
      </c>
      <c r="R509">
        <f>IF(Q509="","",IF(Q509&gt;=60,"HIGH",IF(Q509&gt;=30,"MEDIUM","LOW")))</f>
        <v/>
      </c>
    </row>
    <row r="510">
      <c r="A510" t="n">
        <v>509</v>
      </c>
      <c r="R510">
        <f>IF(Q510="","",IF(Q510&gt;=60,"HIGH",IF(Q510&gt;=30,"MEDIUM","LOW")))</f>
        <v/>
      </c>
    </row>
    <row r="511">
      <c r="A511" t="n">
        <v>510</v>
      </c>
      <c r="R511">
        <f>IF(Q511="","",IF(Q511&gt;=60,"HIGH",IF(Q511&gt;=30,"MEDIUM","LOW")))</f>
        <v/>
      </c>
    </row>
    <row r="512">
      <c r="A512" t="n">
        <v>511</v>
      </c>
      <c r="R512">
        <f>IF(Q512="","",IF(Q512&gt;=60,"HIGH",IF(Q512&gt;=30,"MEDIUM","LOW")))</f>
        <v/>
      </c>
    </row>
    <row r="513">
      <c r="A513" t="n">
        <v>512</v>
      </c>
      <c r="R513">
        <f>IF(Q513="","",IF(Q513&gt;=60,"HIGH",IF(Q513&gt;=30,"MEDIUM","LOW")))</f>
        <v/>
      </c>
    </row>
    <row r="514">
      <c r="A514" t="n">
        <v>513</v>
      </c>
      <c r="R514">
        <f>IF(Q514="","",IF(Q514&gt;=60,"HIGH",IF(Q514&gt;=30,"MEDIUM","LOW")))</f>
        <v/>
      </c>
    </row>
    <row r="515">
      <c r="A515" t="n">
        <v>514</v>
      </c>
      <c r="R515">
        <f>IF(Q515="","",IF(Q515&gt;=60,"HIGH",IF(Q515&gt;=30,"MEDIUM","LOW")))</f>
        <v/>
      </c>
    </row>
    <row r="516">
      <c r="A516" t="n">
        <v>515</v>
      </c>
      <c r="R516">
        <f>IF(Q516="","",IF(Q516&gt;=60,"HIGH",IF(Q516&gt;=30,"MEDIUM","LOW")))</f>
        <v/>
      </c>
    </row>
    <row r="517">
      <c r="A517" t="n">
        <v>516</v>
      </c>
      <c r="R517">
        <f>IF(Q517="","",IF(Q517&gt;=60,"HIGH",IF(Q517&gt;=30,"MEDIUM","LOW")))</f>
        <v/>
      </c>
    </row>
    <row r="518">
      <c r="A518" t="n">
        <v>517</v>
      </c>
      <c r="R518">
        <f>IF(Q518="","",IF(Q518&gt;=60,"HIGH",IF(Q518&gt;=30,"MEDIUM","LOW")))</f>
        <v/>
      </c>
    </row>
    <row r="519">
      <c r="A519" t="n">
        <v>518</v>
      </c>
      <c r="R519">
        <f>IF(Q519="","",IF(Q519&gt;=60,"HIGH",IF(Q519&gt;=30,"MEDIUM","LOW")))</f>
        <v/>
      </c>
    </row>
    <row r="520">
      <c r="A520" t="n">
        <v>519</v>
      </c>
      <c r="R520">
        <f>IF(Q520="","",IF(Q520&gt;=60,"HIGH",IF(Q520&gt;=30,"MEDIUM","LOW")))</f>
        <v/>
      </c>
    </row>
    <row r="521">
      <c r="A521" t="n">
        <v>520</v>
      </c>
      <c r="R521">
        <f>IF(Q521="","",IF(Q521&gt;=60,"HIGH",IF(Q521&gt;=30,"MEDIUM","LOW")))</f>
        <v/>
      </c>
    </row>
    <row r="522">
      <c r="A522" t="n">
        <v>521</v>
      </c>
      <c r="R522">
        <f>IF(Q522="","",IF(Q522&gt;=60,"HIGH",IF(Q522&gt;=30,"MEDIUM","LOW")))</f>
        <v/>
      </c>
    </row>
    <row r="523">
      <c r="A523" t="n">
        <v>522</v>
      </c>
      <c r="R523">
        <f>IF(Q523="","",IF(Q523&gt;=60,"HIGH",IF(Q523&gt;=30,"MEDIUM","LOW")))</f>
        <v/>
      </c>
    </row>
    <row r="524">
      <c r="A524" t="n">
        <v>523</v>
      </c>
      <c r="R524">
        <f>IF(Q524="","",IF(Q524&gt;=60,"HIGH",IF(Q524&gt;=30,"MEDIUM","LOW")))</f>
        <v/>
      </c>
    </row>
    <row r="525">
      <c r="A525" t="n">
        <v>524</v>
      </c>
      <c r="R525">
        <f>IF(Q525="","",IF(Q525&gt;=60,"HIGH",IF(Q525&gt;=30,"MEDIUM","LOW")))</f>
        <v/>
      </c>
    </row>
    <row r="526">
      <c r="A526" t="n">
        <v>525</v>
      </c>
      <c r="R526">
        <f>IF(Q526="","",IF(Q526&gt;=60,"HIGH",IF(Q526&gt;=30,"MEDIUM","LOW")))</f>
        <v/>
      </c>
    </row>
    <row r="527">
      <c r="A527" t="n">
        <v>526</v>
      </c>
      <c r="R527">
        <f>IF(Q527="","",IF(Q527&gt;=60,"HIGH",IF(Q527&gt;=30,"MEDIUM","LOW")))</f>
        <v/>
      </c>
    </row>
    <row r="528">
      <c r="A528" t="n">
        <v>527</v>
      </c>
      <c r="R528">
        <f>IF(Q528="","",IF(Q528&gt;=60,"HIGH",IF(Q528&gt;=30,"MEDIUM","LOW")))</f>
        <v/>
      </c>
    </row>
    <row r="529">
      <c r="A529" t="n">
        <v>528</v>
      </c>
      <c r="R529">
        <f>IF(Q529="","",IF(Q529&gt;=60,"HIGH",IF(Q529&gt;=30,"MEDIUM","LOW")))</f>
        <v/>
      </c>
    </row>
    <row r="530">
      <c r="A530" t="n">
        <v>529</v>
      </c>
      <c r="R530">
        <f>IF(Q530="","",IF(Q530&gt;=60,"HIGH",IF(Q530&gt;=30,"MEDIUM","LOW")))</f>
        <v/>
      </c>
    </row>
    <row r="531">
      <c r="A531" t="n">
        <v>530</v>
      </c>
      <c r="R531">
        <f>IF(Q531="","",IF(Q531&gt;=60,"HIGH",IF(Q531&gt;=30,"MEDIUM","LOW")))</f>
        <v/>
      </c>
    </row>
    <row r="532">
      <c r="A532" t="n">
        <v>531</v>
      </c>
      <c r="R532">
        <f>IF(Q532="","",IF(Q532&gt;=60,"HIGH",IF(Q532&gt;=30,"MEDIUM","LOW")))</f>
        <v/>
      </c>
    </row>
    <row r="533">
      <c r="A533" t="n">
        <v>532</v>
      </c>
      <c r="R533">
        <f>IF(Q533="","",IF(Q533&gt;=60,"HIGH",IF(Q533&gt;=30,"MEDIUM","LOW")))</f>
        <v/>
      </c>
    </row>
    <row r="534">
      <c r="A534" t="n">
        <v>533</v>
      </c>
      <c r="R534">
        <f>IF(Q534="","",IF(Q534&gt;=60,"HIGH",IF(Q534&gt;=30,"MEDIUM","LOW")))</f>
        <v/>
      </c>
    </row>
    <row r="535">
      <c r="A535" t="n">
        <v>534</v>
      </c>
      <c r="R535">
        <f>IF(Q535="","",IF(Q535&gt;=60,"HIGH",IF(Q535&gt;=30,"MEDIUM","LOW")))</f>
        <v/>
      </c>
    </row>
    <row r="536">
      <c r="A536" t="n">
        <v>535</v>
      </c>
      <c r="R536">
        <f>IF(Q536="","",IF(Q536&gt;=60,"HIGH",IF(Q536&gt;=30,"MEDIUM","LOW")))</f>
        <v/>
      </c>
    </row>
    <row r="537">
      <c r="A537" t="n">
        <v>536</v>
      </c>
      <c r="R537">
        <f>IF(Q537="","",IF(Q537&gt;=60,"HIGH",IF(Q537&gt;=30,"MEDIUM","LOW")))</f>
        <v/>
      </c>
    </row>
    <row r="538">
      <c r="A538" t="n">
        <v>537</v>
      </c>
      <c r="R538">
        <f>IF(Q538="","",IF(Q538&gt;=60,"HIGH",IF(Q538&gt;=30,"MEDIUM","LOW")))</f>
        <v/>
      </c>
    </row>
    <row r="539">
      <c r="A539" t="n">
        <v>538</v>
      </c>
      <c r="R539">
        <f>IF(Q539="","",IF(Q539&gt;=60,"HIGH",IF(Q539&gt;=30,"MEDIUM","LOW")))</f>
        <v/>
      </c>
    </row>
    <row r="540">
      <c r="A540" t="n">
        <v>539</v>
      </c>
      <c r="R540">
        <f>IF(Q540="","",IF(Q540&gt;=60,"HIGH",IF(Q540&gt;=30,"MEDIUM","LOW")))</f>
        <v/>
      </c>
    </row>
    <row r="541">
      <c r="A541" t="n">
        <v>540</v>
      </c>
      <c r="R541">
        <f>IF(Q541="","",IF(Q541&gt;=60,"HIGH",IF(Q541&gt;=30,"MEDIUM","LOW")))</f>
        <v/>
      </c>
    </row>
    <row r="542">
      <c r="A542" t="n">
        <v>541</v>
      </c>
      <c r="R542">
        <f>IF(Q542="","",IF(Q542&gt;=60,"HIGH",IF(Q542&gt;=30,"MEDIUM","LOW")))</f>
        <v/>
      </c>
    </row>
    <row r="543">
      <c r="A543" t="n">
        <v>542</v>
      </c>
      <c r="R543">
        <f>IF(Q543="","",IF(Q543&gt;=60,"HIGH",IF(Q543&gt;=30,"MEDIUM","LOW")))</f>
        <v/>
      </c>
    </row>
    <row r="544">
      <c r="A544" t="n">
        <v>543</v>
      </c>
      <c r="R544">
        <f>IF(Q544="","",IF(Q544&gt;=60,"HIGH",IF(Q544&gt;=30,"MEDIUM","LOW")))</f>
        <v/>
      </c>
    </row>
    <row r="545">
      <c r="A545" t="n">
        <v>544</v>
      </c>
      <c r="R545">
        <f>IF(Q545="","",IF(Q545&gt;=60,"HIGH",IF(Q545&gt;=30,"MEDIUM","LOW")))</f>
        <v/>
      </c>
    </row>
    <row r="546">
      <c r="A546" t="n">
        <v>545</v>
      </c>
      <c r="R546">
        <f>IF(Q546="","",IF(Q546&gt;=60,"HIGH",IF(Q546&gt;=30,"MEDIUM","LOW")))</f>
        <v/>
      </c>
    </row>
    <row r="547">
      <c r="A547" t="n">
        <v>546</v>
      </c>
      <c r="R547">
        <f>IF(Q547="","",IF(Q547&gt;=60,"HIGH",IF(Q547&gt;=30,"MEDIUM","LOW")))</f>
        <v/>
      </c>
    </row>
    <row r="548">
      <c r="A548" t="n">
        <v>547</v>
      </c>
      <c r="R548">
        <f>IF(Q548="","",IF(Q548&gt;=60,"HIGH",IF(Q548&gt;=30,"MEDIUM","LOW")))</f>
        <v/>
      </c>
    </row>
    <row r="549">
      <c r="A549" t="n">
        <v>548</v>
      </c>
      <c r="R549">
        <f>IF(Q549="","",IF(Q549&gt;=60,"HIGH",IF(Q549&gt;=30,"MEDIUM","LOW")))</f>
        <v/>
      </c>
    </row>
    <row r="550">
      <c r="A550" t="n">
        <v>549</v>
      </c>
      <c r="R550">
        <f>IF(Q550="","",IF(Q550&gt;=60,"HIGH",IF(Q550&gt;=30,"MEDIUM","LOW")))</f>
        <v/>
      </c>
    </row>
    <row r="551">
      <c r="A551" t="n">
        <v>550</v>
      </c>
      <c r="R551">
        <f>IF(Q551="","",IF(Q551&gt;=60,"HIGH",IF(Q551&gt;=30,"MEDIUM","LOW")))</f>
        <v/>
      </c>
    </row>
    <row r="552">
      <c r="A552" t="n">
        <v>551</v>
      </c>
      <c r="R552">
        <f>IF(Q552="","",IF(Q552&gt;=60,"HIGH",IF(Q552&gt;=30,"MEDIUM","LOW")))</f>
        <v/>
      </c>
    </row>
    <row r="553">
      <c r="A553" t="n">
        <v>552</v>
      </c>
      <c r="R553">
        <f>IF(Q553="","",IF(Q553&gt;=60,"HIGH",IF(Q553&gt;=30,"MEDIUM","LOW")))</f>
        <v/>
      </c>
    </row>
    <row r="554">
      <c r="A554" t="n">
        <v>553</v>
      </c>
      <c r="R554">
        <f>IF(Q554="","",IF(Q554&gt;=60,"HIGH",IF(Q554&gt;=30,"MEDIUM","LOW")))</f>
        <v/>
      </c>
    </row>
    <row r="555">
      <c r="A555" t="n">
        <v>554</v>
      </c>
      <c r="R555">
        <f>IF(Q555="","",IF(Q555&gt;=60,"HIGH",IF(Q555&gt;=30,"MEDIUM","LOW")))</f>
        <v/>
      </c>
    </row>
    <row r="556">
      <c r="A556" t="n">
        <v>555</v>
      </c>
      <c r="R556">
        <f>IF(Q556="","",IF(Q556&gt;=60,"HIGH",IF(Q556&gt;=30,"MEDIUM","LOW")))</f>
        <v/>
      </c>
    </row>
    <row r="557">
      <c r="A557" t="n">
        <v>556</v>
      </c>
      <c r="R557">
        <f>IF(Q557="","",IF(Q557&gt;=60,"HIGH",IF(Q557&gt;=30,"MEDIUM","LOW")))</f>
        <v/>
      </c>
    </row>
    <row r="558">
      <c r="A558" t="n">
        <v>557</v>
      </c>
      <c r="R558">
        <f>IF(Q558="","",IF(Q558&gt;=60,"HIGH",IF(Q558&gt;=30,"MEDIUM","LOW")))</f>
        <v/>
      </c>
    </row>
    <row r="559">
      <c r="A559" t="n">
        <v>558</v>
      </c>
      <c r="R559">
        <f>IF(Q559="","",IF(Q559&gt;=60,"HIGH",IF(Q559&gt;=30,"MEDIUM","LOW")))</f>
        <v/>
      </c>
    </row>
    <row r="560">
      <c r="A560" t="n">
        <v>559</v>
      </c>
      <c r="R560">
        <f>IF(Q560="","",IF(Q560&gt;=60,"HIGH",IF(Q560&gt;=30,"MEDIUM","LOW")))</f>
        <v/>
      </c>
    </row>
    <row r="561">
      <c r="A561" t="n">
        <v>560</v>
      </c>
      <c r="R561">
        <f>IF(Q561="","",IF(Q561&gt;=60,"HIGH",IF(Q561&gt;=30,"MEDIUM","LOW")))</f>
        <v/>
      </c>
    </row>
    <row r="562">
      <c r="A562" t="n">
        <v>561</v>
      </c>
      <c r="R562">
        <f>IF(Q562="","",IF(Q562&gt;=60,"HIGH",IF(Q562&gt;=30,"MEDIUM","LOW")))</f>
        <v/>
      </c>
    </row>
    <row r="563">
      <c r="A563" t="n">
        <v>562</v>
      </c>
      <c r="R563">
        <f>IF(Q563="","",IF(Q563&gt;=60,"HIGH",IF(Q563&gt;=30,"MEDIUM","LOW")))</f>
        <v/>
      </c>
    </row>
    <row r="564">
      <c r="A564" t="n">
        <v>563</v>
      </c>
      <c r="R564">
        <f>IF(Q564="","",IF(Q564&gt;=60,"HIGH",IF(Q564&gt;=30,"MEDIUM","LOW")))</f>
        <v/>
      </c>
    </row>
    <row r="565">
      <c r="A565" t="n">
        <v>564</v>
      </c>
      <c r="R565">
        <f>IF(Q565="","",IF(Q565&gt;=60,"HIGH",IF(Q565&gt;=30,"MEDIUM","LOW")))</f>
        <v/>
      </c>
    </row>
    <row r="566">
      <c r="A566" t="n">
        <v>565</v>
      </c>
      <c r="R566">
        <f>IF(Q566="","",IF(Q566&gt;=60,"HIGH",IF(Q566&gt;=30,"MEDIUM","LOW")))</f>
        <v/>
      </c>
    </row>
    <row r="567">
      <c r="A567" t="n">
        <v>566</v>
      </c>
      <c r="R567">
        <f>IF(Q567="","",IF(Q567&gt;=60,"HIGH",IF(Q567&gt;=30,"MEDIUM","LOW")))</f>
        <v/>
      </c>
    </row>
    <row r="568">
      <c r="A568" t="n">
        <v>567</v>
      </c>
      <c r="R568">
        <f>IF(Q568="","",IF(Q568&gt;=60,"HIGH",IF(Q568&gt;=30,"MEDIUM","LOW")))</f>
        <v/>
      </c>
    </row>
    <row r="569">
      <c r="A569" t="n">
        <v>568</v>
      </c>
      <c r="R569">
        <f>IF(Q569="","",IF(Q569&gt;=60,"HIGH",IF(Q569&gt;=30,"MEDIUM","LOW")))</f>
        <v/>
      </c>
    </row>
    <row r="570">
      <c r="A570" t="n">
        <v>569</v>
      </c>
      <c r="R570">
        <f>IF(Q570="","",IF(Q570&gt;=60,"HIGH",IF(Q570&gt;=30,"MEDIUM","LOW")))</f>
        <v/>
      </c>
    </row>
    <row r="571">
      <c r="A571" t="n">
        <v>570</v>
      </c>
      <c r="R571">
        <f>IF(Q571="","",IF(Q571&gt;=60,"HIGH",IF(Q571&gt;=30,"MEDIUM","LOW")))</f>
        <v/>
      </c>
    </row>
    <row r="572">
      <c r="A572" t="n">
        <v>571</v>
      </c>
      <c r="R572">
        <f>IF(Q572="","",IF(Q572&gt;=60,"HIGH",IF(Q572&gt;=30,"MEDIUM","LOW")))</f>
        <v/>
      </c>
    </row>
    <row r="573">
      <c r="A573" t="n">
        <v>572</v>
      </c>
      <c r="R573">
        <f>IF(Q573="","",IF(Q573&gt;=60,"HIGH",IF(Q573&gt;=30,"MEDIUM","LOW")))</f>
        <v/>
      </c>
    </row>
    <row r="574">
      <c r="A574" t="n">
        <v>573</v>
      </c>
      <c r="R574">
        <f>IF(Q574="","",IF(Q574&gt;=60,"HIGH",IF(Q574&gt;=30,"MEDIUM","LOW")))</f>
        <v/>
      </c>
    </row>
    <row r="575">
      <c r="A575" t="n">
        <v>574</v>
      </c>
      <c r="R575">
        <f>IF(Q575="","",IF(Q575&gt;=60,"HIGH",IF(Q575&gt;=30,"MEDIUM","LOW")))</f>
        <v/>
      </c>
    </row>
    <row r="576">
      <c r="A576" t="n">
        <v>575</v>
      </c>
      <c r="R576">
        <f>IF(Q576="","",IF(Q576&gt;=60,"HIGH",IF(Q576&gt;=30,"MEDIUM","LOW")))</f>
        <v/>
      </c>
    </row>
    <row r="577">
      <c r="A577" t="n">
        <v>576</v>
      </c>
      <c r="R577">
        <f>IF(Q577="","",IF(Q577&gt;=60,"HIGH",IF(Q577&gt;=30,"MEDIUM","LOW")))</f>
        <v/>
      </c>
    </row>
    <row r="578">
      <c r="A578" t="n">
        <v>577</v>
      </c>
      <c r="R578">
        <f>IF(Q578="","",IF(Q578&gt;=60,"HIGH",IF(Q578&gt;=30,"MEDIUM","LOW")))</f>
        <v/>
      </c>
    </row>
    <row r="579">
      <c r="A579" t="n">
        <v>578</v>
      </c>
      <c r="R579">
        <f>IF(Q579="","",IF(Q579&gt;=60,"HIGH",IF(Q579&gt;=30,"MEDIUM","LOW")))</f>
        <v/>
      </c>
    </row>
    <row r="580">
      <c r="A580" t="n">
        <v>579</v>
      </c>
      <c r="R580">
        <f>IF(Q580="","",IF(Q580&gt;=60,"HIGH",IF(Q580&gt;=30,"MEDIUM","LOW")))</f>
        <v/>
      </c>
    </row>
    <row r="581">
      <c r="A581" t="n">
        <v>580</v>
      </c>
      <c r="R581">
        <f>IF(Q581="","",IF(Q581&gt;=60,"HIGH",IF(Q581&gt;=30,"MEDIUM","LOW")))</f>
        <v/>
      </c>
    </row>
    <row r="582">
      <c r="A582" t="n">
        <v>581</v>
      </c>
      <c r="R582">
        <f>IF(Q582="","",IF(Q582&gt;=60,"HIGH",IF(Q582&gt;=30,"MEDIUM","LOW")))</f>
        <v/>
      </c>
    </row>
    <row r="583">
      <c r="A583" t="n">
        <v>582</v>
      </c>
      <c r="R583">
        <f>IF(Q583="","",IF(Q583&gt;=60,"HIGH",IF(Q583&gt;=30,"MEDIUM","LOW")))</f>
        <v/>
      </c>
    </row>
    <row r="584">
      <c r="A584" t="n">
        <v>583</v>
      </c>
      <c r="R584">
        <f>IF(Q584="","",IF(Q584&gt;=60,"HIGH",IF(Q584&gt;=30,"MEDIUM","LOW")))</f>
        <v/>
      </c>
    </row>
    <row r="585">
      <c r="A585" t="n">
        <v>584</v>
      </c>
      <c r="R585">
        <f>IF(Q585="","",IF(Q585&gt;=60,"HIGH",IF(Q585&gt;=30,"MEDIUM","LOW")))</f>
        <v/>
      </c>
    </row>
    <row r="586">
      <c r="A586" t="n">
        <v>585</v>
      </c>
      <c r="R586">
        <f>IF(Q586="","",IF(Q586&gt;=60,"HIGH",IF(Q586&gt;=30,"MEDIUM","LOW")))</f>
        <v/>
      </c>
    </row>
    <row r="587">
      <c r="A587" t="n">
        <v>586</v>
      </c>
      <c r="R587">
        <f>IF(Q587="","",IF(Q587&gt;=60,"HIGH",IF(Q587&gt;=30,"MEDIUM","LOW")))</f>
        <v/>
      </c>
    </row>
    <row r="588">
      <c r="A588" t="n">
        <v>587</v>
      </c>
      <c r="R588">
        <f>IF(Q588="","",IF(Q588&gt;=60,"HIGH",IF(Q588&gt;=30,"MEDIUM","LOW")))</f>
        <v/>
      </c>
    </row>
    <row r="589">
      <c r="A589" t="n">
        <v>588</v>
      </c>
      <c r="R589">
        <f>IF(Q589="","",IF(Q589&gt;=60,"HIGH",IF(Q589&gt;=30,"MEDIUM","LOW")))</f>
        <v/>
      </c>
    </row>
    <row r="590">
      <c r="A590" t="n">
        <v>589</v>
      </c>
      <c r="R590">
        <f>IF(Q590="","",IF(Q590&gt;=60,"HIGH",IF(Q590&gt;=30,"MEDIUM","LOW")))</f>
        <v/>
      </c>
    </row>
    <row r="591">
      <c r="A591" t="n">
        <v>590</v>
      </c>
      <c r="R591">
        <f>IF(Q591="","",IF(Q591&gt;=60,"HIGH",IF(Q591&gt;=30,"MEDIUM","LOW")))</f>
        <v/>
      </c>
    </row>
    <row r="592">
      <c r="A592" t="n">
        <v>591</v>
      </c>
      <c r="R592">
        <f>IF(Q592="","",IF(Q592&gt;=60,"HIGH",IF(Q592&gt;=30,"MEDIUM","LOW")))</f>
        <v/>
      </c>
    </row>
    <row r="593">
      <c r="A593" t="n">
        <v>592</v>
      </c>
      <c r="R593">
        <f>IF(Q593="","",IF(Q593&gt;=60,"HIGH",IF(Q593&gt;=30,"MEDIUM","LOW")))</f>
        <v/>
      </c>
    </row>
    <row r="594">
      <c r="A594" t="n">
        <v>593</v>
      </c>
      <c r="R594">
        <f>IF(Q594="","",IF(Q594&gt;=60,"HIGH",IF(Q594&gt;=30,"MEDIUM","LOW")))</f>
        <v/>
      </c>
    </row>
    <row r="595">
      <c r="A595" t="n">
        <v>594</v>
      </c>
      <c r="R595">
        <f>IF(Q595="","",IF(Q595&gt;=60,"HIGH",IF(Q595&gt;=30,"MEDIUM","LOW")))</f>
        <v/>
      </c>
    </row>
    <row r="596">
      <c r="A596" t="n">
        <v>595</v>
      </c>
      <c r="R596">
        <f>IF(Q596="","",IF(Q596&gt;=60,"HIGH",IF(Q596&gt;=30,"MEDIUM","LOW")))</f>
        <v/>
      </c>
    </row>
    <row r="597">
      <c r="A597" t="n">
        <v>596</v>
      </c>
      <c r="R597">
        <f>IF(Q597="","",IF(Q597&gt;=60,"HIGH",IF(Q597&gt;=30,"MEDIUM","LOW")))</f>
        <v/>
      </c>
    </row>
    <row r="598">
      <c r="A598" t="n">
        <v>597</v>
      </c>
      <c r="R598">
        <f>IF(Q598="","",IF(Q598&gt;=60,"HIGH",IF(Q598&gt;=30,"MEDIUM","LOW")))</f>
        <v/>
      </c>
    </row>
    <row r="599">
      <c r="A599" t="n">
        <v>598</v>
      </c>
      <c r="R599">
        <f>IF(Q599="","",IF(Q599&gt;=60,"HIGH",IF(Q599&gt;=30,"MEDIUM","LOW")))</f>
        <v/>
      </c>
    </row>
    <row r="600">
      <c r="A600" t="n">
        <v>599</v>
      </c>
      <c r="R600">
        <f>IF(Q600="","",IF(Q600&gt;=60,"HIGH",IF(Q600&gt;=30,"MEDIUM","LOW")))</f>
        <v/>
      </c>
    </row>
    <row r="601">
      <c r="A601" t="n">
        <v>600</v>
      </c>
      <c r="R601">
        <f>IF(Q601="","",IF(Q601&gt;=60,"HIGH",IF(Q601&gt;=30,"MEDIUM","LOW")))</f>
        <v/>
      </c>
    </row>
    <row r="602">
      <c r="A602" t="n">
        <v>601</v>
      </c>
      <c r="R602">
        <f>IF(Q602="","",IF(Q602&gt;=60,"HIGH",IF(Q602&gt;=30,"MEDIUM","LOW")))</f>
        <v/>
      </c>
    </row>
    <row r="603">
      <c r="A603" t="n">
        <v>602</v>
      </c>
      <c r="R603">
        <f>IF(Q603="","",IF(Q603&gt;=60,"HIGH",IF(Q603&gt;=30,"MEDIUM","LOW")))</f>
        <v/>
      </c>
    </row>
    <row r="604">
      <c r="A604" t="n">
        <v>603</v>
      </c>
      <c r="R604">
        <f>IF(Q604="","",IF(Q604&gt;=60,"HIGH",IF(Q604&gt;=30,"MEDIUM","LOW")))</f>
        <v/>
      </c>
    </row>
    <row r="605">
      <c r="A605" t="n">
        <v>604</v>
      </c>
      <c r="R605">
        <f>IF(Q605="","",IF(Q605&gt;=60,"HIGH",IF(Q605&gt;=30,"MEDIUM","LOW")))</f>
        <v/>
      </c>
    </row>
    <row r="606">
      <c r="A606" t="n">
        <v>605</v>
      </c>
      <c r="R606">
        <f>IF(Q606="","",IF(Q606&gt;=60,"HIGH",IF(Q606&gt;=30,"MEDIUM","LOW")))</f>
        <v/>
      </c>
    </row>
    <row r="607">
      <c r="A607" t="n">
        <v>606</v>
      </c>
      <c r="R607">
        <f>IF(Q607="","",IF(Q607&gt;=60,"HIGH",IF(Q607&gt;=30,"MEDIUM","LOW")))</f>
        <v/>
      </c>
    </row>
    <row r="608">
      <c r="A608" t="n">
        <v>607</v>
      </c>
      <c r="R608">
        <f>IF(Q608="","",IF(Q608&gt;=60,"HIGH",IF(Q608&gt;=30,"MEDIUM","LOW")))</f>
        <v/>
      </c>
    </row>
    <row r="609">
      <c r="A609" t="n">
        <v>608</v>
      </c>
      <c r="R609">
        <f>IF(Q609="","",IF(Q609&gt;=60,"HIGH",IF(Q609&gt;=30,"MEDIUM","LOW")))</f>
        <v/>
      </c>
    </row>
    <row r="610">
      <c r="A610" t="n">
        <v>609</v>
      </c>
      <c r="R610">
        <f>IF(Q610="","",IF(Q610&gt;=60,"HIGH",IF(Q610&gt;=30,"MEDIUM","LOW")))</f>
        <v/>
      </c>
    </row>
    <row r="611">
      <c r="A611" t="n">
        <v>610</v>
      </c>
      <c r="R611">
        <f>IF(Q611="","",IF(Q611&gt;=60,"HIGH",IF(Q611&gt;=30,"MEDIUM","LOW")))</f>
        <v/>
      </c>
    </row>
    <row r="612">
      <c r="A612" t="n">
        <v>611</v>
      </c>
      <c r="R612">
        <f>IF(Q612="","",IF(Q612&gt;=60,"HIGH",IF(Q612&gt;=30,"MEDIUM","LOW")))</f>
        <v/>
      </c>
    </row>
    <row r="613">
      <c r="A613" t="n">
        <v>612</v>
      </c>
      <c r="R613">
        <f>IF(Q613="","",IF(Q613&gt;=60,"HIGH",IF(Q613&gt;=30,"MEDIUM","LOW")))</f>
        <v/>
      </c>
    </row>
    <row r="614">
      <c r="A614" t="n">
        <v>613</v>
      </c>
      <c r="R614">
        <f>IF(Q614="","",IF(Q614&gt;=60,"HIGH",IF(Q614&gt;=30,"MEDIUM","LOW")))</f>
        <v/>
      </c>
    </row>
    <row r="615">
      <c r="A615" t="n">
        <v>614</v>
      </c>
      <c r="R615">
        <f>IF(Q615="","",IF(Q615&gt;=60,"HIGH",IF(Q615&gt;=30,"MEDIUM","LOW")))</f>
        <v/>
      </c>
    </row>
    <row r="616">
      <c r="A616" t="n">
        <v>615</v>
      </c>
      <c r="R616">
        <f>IF(Q616="","",IF(Q616&gt;=60,"HIGH",IF(Q616&gt;=30,"MEDIUM","LOW")))</f>
        <v/>
      </c>
    </row>
    <row r="617">
      <c r="A617" t="n">
        <v>616</v>
      </c>
      <c r="R617">
        <f>IF(Q617="","",IF(Q617&gt;=60,"HIGH",IF(Q617&gt;=30,"MEDIUM","LOW")))</f>
        <v/>
      </c>
    </row>
    <row r="618">
      <c r="A618" t="n">
        <v>617</v>
      </c>
      <c r="R618">
        <f>IF(Q618="","",IF(Q618&gt;=60,"HIGH",IF(Q618&gt;=30,"MEDIUM","LOW")))</f>
        <v/>
      </c>
    </row>
    <row r="619">
      <c r="A619" t="n">
        <v>618</v>
      </c>
      <c r="R619">
        <f>IF(Q619="","",IF(Q619&gt;=60,"HIGH",IF(Q619&gt;=30,"MEDIUM","LOW")))</f>
        <v/>
      </c>
    </row>
    <row r="620">
      <c r="A620" t="n">
        <v>619</v>
      </c>
      <c r="R620">
        <f>IF(Q620="","",IF(Q620&gt;=60,"HIGH",IF(Q620&gt;=30,"MEDIUM","LOW")))</f>
        <v/>
      </c>
    </row>
    <row r="621">
      <c r="A621" t="n">
        <v>620</v>
      </c>
      <c r="R621">
        <f>IF(Q621="","",IF(Q621&gt;=60,"HIGH",IF(Q621&gt;=30,"MEDIUM","LOW")))</f>
        <v/>
      </c>
    </row>
    <row r="622">
      <c r="A622" t="n">
        <v>621</v>
      </c>
      <c r="R622">
        <f>IF(Q622="","",IF(Q622&gt;=60,"HIGH",IF(Q622&gt;=30,"MEDIUM","LOW")))</f>
        <v/>
      </c>
    </row>
    <row r="623">
      <c r="A623" t="n">
        <v>622</v>
      </c>
      <c r="R623">
        <f>IF(Q623="","",IF(Q623&gt;=60,"HIGH",IF(Q623&gt;=30,"MEDIUM","LOW")))</f>
        <v/>
      </c>
    </row>
    <row r="624">
      <c r="A624" t="n">
        <v>623</v>
      </c>
      <c r="R624">
        <f>IF(Q624="","",IF(Q624&gt;=60,"HIGH",IF(Q624&gt;=30,"MEDIUM","LOW")))</f>
        <v/>
      </c>
    </row>
    <row r="625">
      <c r="A625" t="n">
        <v>624</v>
      </c>
      <c r="R625">
        <f>IF(Q625="","",IF(Q625&gt;=60,"HIGH",IF(Q625&gt;=30,"MEDIUM","LOW")))</f>
        <v/>
      </c>
    </row>
    <row r="626">
      <c r="A626" t="n">
        <v>625</v>
      </c>
      <c r="R626">
        <f>IF(Q626="","",IF(Q626&gt;=60,"HIGH",IF(Q626&gt;=30,"MEDIUM","LOW")))</f>
        <v/>
      </c>
    </row>
    <row r="627">
      <c r="A627" t="n">
        <v>626</v>
      </c>
      <c r="R627">
        <f>IF(Q627="","",IF(Q627&gt;=60,"HIGH",IF(Q627&gt;=30,"MEDIUM","LOW")))</f>
        <v/>
      </c>
    </row>
    <row r="628">
      <c r="A628" t="n">
        <v>627</v>
      </c>
      <c r="R628">
        <f>IF(Q628="","",IF(Q628&gt;=60,"HIGH",IF(Q628&gt;=30,"MEDIUM","LOW")))</f>
        <v/>
      </c>
    </row>
    <row r="629">
      <c r="A629" t="n">
        <v>628</v>
      </c>
      <c r="R629">
        <f>IF(Q629="","",IF(Q629&gt;=60,"HIGH",IF(Q629&gt;=30,"MEDIUM","LOW")))</f>
        <v/>
      </c>
    </row>
    <row r="630">
      <c r="A630" t="n">
        <v>629</v>
      </c>
      <c r="R630">
        <f>IF(Q630="","",IF(Q630&gt;=60,"HIGH",IF(Q630&gt;=30,"MEDIUM","LOW")))</f>
        <v/>
      </c>
    </row>
    <row r="631">
      <c r="A631" t="n">
        <v>630</v>
      </c>
      <c r="R631">
        <f>IF(Q631="","",IF(Q631&gt;=60,"HIGH",IF(Q631&gt;=30,"MEDIUM","LOW")))</f>
        <v/>
      </c>
    </row>
    <row r="632">
      <c r="A632" t="n">
        <v>631</v>
      </c>
      <c r="R632">
        <f>IF(Q632="","",IF(Q632&gt;=60,"HIGH",IF(Q632&gt;=30,"MEDIUM","LOW")))</f>
        <v/>
      </c>
    </row>
    <row r="633">
      <c r="A633" t="n">
        <v>632</v>
      </c>
      <c r="R633">
        <f>IF(Q633="","",IF(Q633&gt;=60,"HIGH",IF(Q633&gt;=30,"MEDIUM","LOW")))</f>
        <v/>
      </c>
    </row>
    <row r="634">
      <c r="A634" t="n">
        <v>633</v>
      </c>
      <c r="R634">
        <f>IF(Q634="","",IF(Q634&gt;=60,"HIGH",IF(Q634&gt;=30,"MEDIUM","LOW")))</f>
        <v/>
      </c>
    </row>
    <row r="635">
      <c r="A635" t="n">
        <v>634</v>
      </c>
      <c r="R635">
        <f>IF(Q635="","",IF(Q635&gt;=60,"HIGH",IF(Q635&gt;=30,"MEDIUM","LOW")))</f>
        <v/>
      </c>
    </row>
    <row r="636">
      <c r="A636" t="n">
        <v>635</v>
      </c>
      <c r="R636">
        <f>IF(Q636="","",IF(Q636&gt;=60,"HIGH",IF(Q636&gt;=30,"MEDIUM","LOW")))</f>
        <v/>
      </c>
    </row>
    <row r="637">
      <c r="A637" t="n">
        <v>636</v>
      </c>
      <c r="R637">
        <f>IF(Q637="","",IF(Q637&gt;=60,"HIGH",IF(Q637&gt;=30,"MEDIUM","LOW")))</f>
        <v/>
      </c>
    </row>
    <row r="638">
      <c r="A638" t="n">
        <v>637</v>
      </c>
      <c r="R638">
        <f>IF(Q638="","",IF(Q638&gt;=60,"HIGH",IF(Q638&gt;=30,"MEDIUM","LOW")))</f>
        <v/>
      </c>
    </row>
    <row r="639">
      <c r="A639" t="n">
        <v>638</v>
      </c>
      <c r="R639">
        <f>IF(Q639="","",IF(Q639&gt;=60,"HIGH",IF(Q639&gt;=30,"MEDIUM","LOW")))</f>
        <v/>
      </c>
    </row>
    <row r="640">
      <c r="A640" t="n">
        <v>639</v>
      </c>
      <c r="R640">
        <f>IF(Q640="","",IF(Q640&gt;=60,"HIGH",IF(Q640&gt;=30,"MEDIUM","LOW")))</f>
        <v/>
      </c>
    </row>
    <row r="641">
      <c r="A641" t="n">
        <v>640</v>
      </c>
      <c r="R641">
        <f>IF(Q641="","",IF(Q641&gt;=60,"HIGH",IF(Q641&gt;=30,"MEDIUM","LOW")))</f>
        <v/>
      </c>
    </row>
    <row r="642">
      <c r="A642" t="n">
        <v>641</v>
      </c>
      <c r="R642">
        <f>IF(Q642="","",IF(Q642&gt;=60,"HIGH",IF(Q642&gt;=30,"MEDIUM","LOW")))</f>
        <v/>
      </c>
    </row>
    <row r="643">
      <c r="A643" t="n">
        <v>642</v>
      </c>
      <c r="R643">
        <f>IF(Q643="","",IF(Q643&gt;=60,"HIGH",IF(Q643&gt;=30,"MEDIUM","LOW")))</f>
        <v/>
      </c>
    </row>
    <row r="644">
      <c r="A644" t="n">
        <v>643</v>
      </c>
      <c r="R644">
        <f>IF(Q644="","",IF(Q644&gt;=60,"HIGH",IF(Q644&gt;=30,"MEDIUM","LOW")))</f>
        <v/>
      </c>
    </row>
    <row r="645">
      <c r="A645" t="n">
        <v>644</v>
      </c>
      <c r="R645">
        <f>IF(Q645="","",IF(Q645&gt;=60,"HIGH",IF(Q645&gt;=30,"MEDIUM","LOW")))</f>
        <v/>
      </c>
    </row>
    <row r="646">
      <c r="A646" t="n">
        <v>645</v>
      </c>
      <c r="R646">
        <f>IF(Q646="","",IF(Q646&gt;=60,"HIGH",IF(Q646&gt;=30,"MEDIUM","LOW")))</f>
        <v/>
      </c>
    </row>
    <row r="647">
      <c r="A647" t="n">
        <v>646</v>
      </c>
      <c r="R647">
        <f>IF(Q647="","",IF(Q647&gt;=60,"HIGH",IF(Q647&gt;=30,"MEDIUM","LOW")))</f>
        <v/>
      </c>
    </row>
    <row r="648">
      <c r="A648" t="n">
        <v>647</v>
      </c>
      <c r="R648">
        <f>IF(Q648="","",IF(Q648&gt;=60,"HIGH",IF(Q648&gt;=30,"MEDIUM","LOW")))</f>
        <v/>
      </c>
    </row>
    <row r="649">
      <c r="A649" t="n">
        <v>648</v>
      </c>
      <c r="R649">
        <f>IF(Q649="","",IF(Q649&gt;=60,"HIGH",IF(Q649&gt;=30,"MEDIUM","LOW")))</f>
        <v/>
      </c>
    </row>
    <row r="650">
      <c r="A650" t="n">
        <v>649</v>
      </c>
      <c r="R650">
        <f>IF(Q650="","",IF(Q650&gt;=60,"HIGH",IF(Q650&gt;=30,"MEDIUM","LOW")))</f>
        <v/>
      </c>
    </row>
    <row r="651">
      <c r="A651" t="n">
        <v>650</v>
      </c>
      <c r="R651">
        <f>IF(Q651="","",IF(Q651&gt;=60,"HIGH",IF(Q651&gt;=30,"MEDIUM","LOW")))</f>
        <v/>
      </c>
    </row>
    <row r="652">
      <c r="A652" t="n">
        <v>651</v>
      </c>
      <c r="R652">
        <f>IF(Q652="","",IF(Q652&gt;=60,"HIGH",IF(Q652&gt;=30,"MEDIUM","LOW")))</f>
        <v/>
      </c>
    </row>
    <row r="653">
      <c r="A653" t="n">
        <v>652</v>
      </c>
      <c r="R653">
        <f>IF(Q653="","",IF(Q653&gt;=60,"HIGH",IF(Q653&gt;=30,"MEDIUM","LOW")))</f>
        <v/>
      </c>
    </row>
    <row r="654">
      <c r="A654" t="n">
        <v>653</v>
      </c>
      <c r="R654">
        <f>IF(Q654="","",IF(Q654&gt;=60,"HIGH",IF(Q654&gt;=30,"MEDIUM","LOW")))</f>
        <v/>
      </c>
    </row>
    <row r="655">
      <c r="A655" t="n">
        <v>654</v>
      </c>
      <c r="R655">
        <f>IF(Q655="","",IF(Q655&gt;=60,"HIGH",IF(Q655&gt;=30,"MEDIUM","LOW")))</f>
        <v/>
      </c>
    </row>
    <row r="656">
      <c r="A656" t="n">
        <v>655</v>
      </c>
      <c r="R656">
        <f>IF(Q656="","",IF(Q656&gt;=60,"HIGH",IF(Q656&gt;=30,"MEDIUM","LOW")))</f>
        <v/>
      </c>
    </row>
    <row r="657">
      <c r="A657" t="n">
        <v>656</v>
      </c>
      <c r="R657">
        <f>IF(Q657="","",IF(Q657&gt;=60,"HIGH",IF(Q657&gt;=30,"MEDIUM","LOW")))</f>
        <v/>
      </c>
    </row>
    <row r="658">
      <c r="A658" t="n">
        <v>657</v>
      </c>
      <c r="R658">
        <f>IF(Q658="","",IF(Q658&gt;=60,"HIGH",IF(Q658&gt;=30,"MEDIUM","LOW")))</f>
        <v/>
      </c>
    </row>
    <row r="659">
      <c r="A659" t="n">
        <v>658</v>
      </c>
      <c r="R659">
        <f>IF(Q659="","",IF(Q659&gt;=60,"HIGH",IF(Q659&gt;=30,"MEDIUM","LOW")))</f>
        <v/>
      </c>
    </row>
    <row r="660">
      <c r="A660" t="n">
        <v>659</v>
      </c>
      <c r="R660">
        <f>IF(Q660="","",IF(Q660&gt;=60,"HIGH",IF(Q660&gt;=30,"MEDIUM","LOW")))</f>
        <v/>
      </c>
    </row>
    <row r="661">
      <c r="A661" t="n">
        <v>660</v>
      </c>
      <c r="R661">
        <f>IF(Q661="","",IF(Q661&gt;=60,"HIGH",IF(Q661&gt;=30,"MEDIUM","LOW")))</f>
        <v/>
      </c>
    </row>
    <row r="662">
      <c r="A662" t="n">
        <v>661</v>
      </c>
      <c r="R662">
        <f>IF(Q662="","",IF(Q662&gt;=60,"HIGH",IF(Q662&gt;=30,"MEDIUM","LOW")))</f>
        <v/>
      </c>
    </row>
    <row r="663">
      <c r="A663" t="n">
        <v>662</v>
      </c>
      <c r="R663">
        <f>IF(Q663="","",IF(Q663&gt;=60,"HIGH",IF(Q663&gt;=30,"MEDIUM","LOW")))</f>
        <v/>
      </c>
    </row>
    <row r="664">
      <c r="A664" t="n">
        <v>663</v>
      </c>
      <c r="R664">
        <f>IF(Q664="","",IF(Q664&gt;=60,"HIGH",IF(Q664&gt;=30,"MEDIUM","LOW")))</f>
        <v/>
      </c>
    </row>
    <row r="665">
      <c r="A665" t="n">
        <v>664</v>
      </c>
      <c r="R665">
        <f>IF(Q665="","",IF(Q665&gt;=60,"HIGH",IF(Q665&gt;=30,"MEDIUM","LOW")))</f>
        <v/>
      </c>
    </row>
    <row r="666">
      <c r="A666" t="n">
        <v>665</v>
      </c>
      <c r="R666">
        <f>IF(Q666="","",IF(Q666&gt;=60,"HIGH",IF(Q666&gt;=30,"MEDIUM","LOW")))</f>
        <v/>
      </c>
    </row>
    <row r="667">
      <c r="A667" t="n">
        <v>666</v>
      </c>
      <c r="R667">
        <f>IF(Q667="","",IF(Q667&gt;=60,"HIGH",IF(Q667&gt;=30,"MEDIUM","LOW")))</f>
        <v/>
      </c>
    </row>
    <row r="668">
      <c r="A668" t="n">
        <v>667</v>
      </c>
      <c r="R668">
        <f>IF(Q668="","",IF(Q668&gt;=60,"HIGH",IF(Q668&gt;=30,"MEDIUM","LOW")))</f>
        <v/>
      </c>
    </row>
    <row r="669">
      <c r="A669" t="n">
        <v>668</v>
      </c>
      <c r="R669">
        <f>IF(Q669="","",IF(Q669&gt;=60,"HIGH",IF(Q669&gt;=30,"MEDIUM","LOW")))</f>
        <v/>
      </c>
    </row>
    <row r="670">
      <c r="A670" t="n">
        <v>669</v>
      </c>
      <c r="R670">
        <f>IF(Q670="","",IF(Q670&gt;=60,"HIGH",IF(Q670&gt;=30,"MEDIUM","LOW")))</f>
        <v/>
      </c>
    </row>
    <row r="671">
      <c r="A671" t="n">
        <v>670</v>
      </c>
      <c r="R671">
        <f>IF(Q671="","",IF(Q671&gt;=60,"HIGH",IF(Q671&gt;=30,"MEDIUM","LOW")))</f>
        <v/>
      </c>
    </row>
    <row r="672">
      <c r="A672" t="n">
        <v>671</v>
      </c>
      <c r="R672">
        <f>IF(Q672="","",IF(Q672&gt;=60,"HIGH",IF(Q672&gt;=30,"MEDIUM","LOW")))</f>
        <v/>
      </c>
    </row>
    <row r="673">
      <c r="A673" t="n">
        <v>672</v>
      </c>
      <c r="R673">
        <f>IF(Q673="","",IF(Q673&gt;=60,"HIGH",IF(Q673&gt;=30,"MEDIUM","LOW")))</f>
        <v/>
      </c>
    </row>
    <row r="674">
      <c r="A674" t="n">
        <v>673</v>
      </c>
      <c r="R674">
        <f>IF(Q674="","",IF(Q674&gt;=60,"HIGH",IF(Q674&gt;=30,"MEDIUM","LOW")))</f>
        <v/>
      </c>
    </row>
    <row r="675">
      <c r="A675" t="n">
        <v>674</v>
      </c>
      <c r="R675">
        <f>IF(Q675="","",IF(Q675&gt;=60,"HIGH",IF(Q675&gt;=30,"MEDIUM","LOW")))</f>
        <v/>
      </c>
    </row>
    <row r="676">
      <c r="A676" t="n">
        <v>675</v>
      </c>
      <c r="R676">
        <f>IF(Q676="","",IF(Q676&gt;=60,"HIGH",IF(Q676&gt;=30,"MEDIUM","LOW")))</f>
        <v/>
      </c>
    </row>
    <row r="677">
      <c r="A677" t="n">
        <v>676</v>
      </c>
      <c r="R677">
        <f>IF(Q677="","",IF(Q677&gt;=60,"HIGH",IF(Q677&gt;=30,"MEDIUM","LOW")))</f>
        <v/>
      </c>
    </row>
    <row r="678">
      <c r="A678" t="n">
        <v>677</v>
      </c>
      <c r="R678">
        <f>IF(Q678="","",IF(Q678&gt;=60,"HIGH",IF(Q678&gt;=30,"MEDIUM","LOW")))</f>
        <v/>
      </c>
    </row>
    <row r="679">
      <c r="A679" t="n">
        <v>678</v>
      </c>
      <c r="R679">
        <f>IF(Q679="","",IF(Q679&gt;=60,"HIGH",IF(Q679&gt;=30,"MEDIUM","LOW")))</f>
        <v/>
      </c>
    </row>
    <row r="680">
      <c r="A680" t="n">
        <v>679</v>
      </c>
      <c r="R680">
        <f>IF(Q680="","",IF(Q680&gt;=60,"HIGH",IF(Q680&gt;=30,"MEDIUM","LOW")))</f>
        <v/>
      </c>
    </row>
    <row r="681">
      <c r="A681" t="n">
        <v>680</v>
      </c>
      <c r="R681">
        <f>IF(Q681="","",IF(Q681&gt;=60,"HIGH",IF(Q681&gt;=30,"MEDIUM","LOW")))</f>
        <v/>
      </c>
    </row>
    <row r="682">
      <c r="A682" t="n">
        <v>681</v>
      </c>
      <c r="R682">
        <f>IF(Q682="","",IF(Q682&gt;=60,"HIGH",IF(Q682&gt;=30,"MEDIUM","LOW")))</f>
        <v/>
      </c>
    </row>
    <row r="683">
      <c r="A683" t="n">
        <v>682</v>
      </c>
      <c r="R683">
        <f>IF(Q683="","",IF(Q683&gt;=60,"HIGH",IF(Q683&gt;=30,"MEDIUM","LOW")))</f>
        <v/>
      </c>
    </row>
    <row r="684">
      <c r="A684" t="n">
        <v>683</v>
      </c>
      <c r="R684">
        <f>IF(Q684="","",IF(Q684&gt;=60,"HIGH",IF(Q684&gt;=30,"MEDIUM","LOW")))</f>
        <v/>
      </c>
    </row>
    <row r="685">
      <c r="A685" t="n">
        <v>684</v>
      </c>
      <c r="R685">
        <f>IF(Q685="","",IF(Q685&gt;=60,"HIGH",IF(Q685&gt;=30,"MEDIUM","LOW")))</f>
        <v/>
      </c>
    </row>
    <row r="686">
      <c r="A686" t="n">
        <v>685</v>
      </c>
      <c r="R686">
        <f>IF(Q686="","",IF(Q686&gt;=60,"HIGH",IF(Q686&gt;=30,"MEDIUM","LOW")))</f>
        <v/>
      </c>
    </row>
    <row r="687">
      <c r="A687" t="n">
        <v>686</v>
      </c>
      <c r="R687">
        <f>IF(Q687="","",IF(Q687&gt;=60,"HIGH",IF(Q687&gt;=30,"MEDIUM","LOW")))</f>
        <v/>
      </c>
    </row>
    <row r="688">
      <c r="A688" t="n">
        <v>687</v>
      </c>
      <c r="R688">
        <f>IF(Q688="","",IF(Q688&gt;=60,"HIGH",IF(Q688&gt;=30,"MEDIUM","LOW")))</f>
        <v/>
      </c>
    </row>
    <row r="689">
      <c r="A689" t="n">
        <v>688</v>
      </c>
      <c r="R689">
        <f>IF(Q689="","",IF(Q689&gt;=60,"HIGH",IF(Q689&gt;=30,"MEDIUM","LOW")))</f>
        <v/>
      </c>
    </row>
    <row r="690">
      <c r="A690" t="n">
        <v>689</v>
      </c>
      <c r="R690">
        <f>IF(Q690="","",IF(Q690&gt;=60,"HIGH",IF(Q690&gt;=30,"MEDIUM","LOW")))</f>
        <v/>
      </c>
    </row>
    <row r="691">
      <c r="A691" t="n">
        <v>690</v>
      </c>
      <c r="R691">
        <f>IF(Q691="","",IF(Q691&gt;=60,"HIGH",IF(Q691&gt;=30,"MEDIUM","LOW")))</f>
        <v/>
      </c>
    </row>
    <row r="692">
      <c r="A692" t="n">
        <v>691</v>
      </c>
      <c r="R692">
        <f>IF(Q692="","",IF(Q692&gt;=60,"HIGH",IF(Q692&gt;=30,"MEDIUM","LOW")))</f>
        <v/>
      </c>
    </row>
    <row r="693">
      <c r="A693" t="n">
        <v>692</v>
      </c>
      <c r="R693">
        <f>IF(Q693="","",IF(Q693&gt;=60,"HIGH",IF(Q693&gt;=30,"MEDIUM","LOW")))</f>
        <v/>
      </c>
    </row>
    <row r="694">
      <c r="A694" t="n">
        <v>693</v>
      </c>
      <c r="R694">
        <f>IF(Q694="","",IF(Q694&gt;=60,"HIGH",IF(Q694&gt;=30,"MEDIUM","LOW")))</f>
        <v/>
      </c>
    </row>
    <row r="695">
      <c r="A695" t="n">
        <v>694</v>
      </c>
      <c r="R695">
        <f>IF(Q695="","",IF(Q695&gt;=60,"HIGH",IF(Q695&gt;=30,"MEDIUM","LOW")))</f>
        <v/>
      </c>
    </row>
    <row r="696">
      <c r="A696" t="n">
        <v>695</v>
      </c>
      <c r="R696">
        <f>IF(Q696="","",IF(Q696&gt;=60,"HIGH",IF(Q696&gt;=30,"MEDIUM","LOW")))</f>
        <v/>
      </c>
    </row>
    <row r="697">
      <c r="A697" t="n">
        <v>696</v>
      </c>
      <c r="R697">
        <f>IF(Q697="","",IF(Q697&gt;=60,"HIGH",IF(Q697&gt;=30,"MEDIUM","LOW")))</f>
        <v/>
      </c>
    </row>
    <row r="698">
      <c r="A698" t="n">
        <v>697</v>
      </c>
      <c r="R698">
        <f>IF(Q698="","",IF(Q698&gt;=60,"HIGH",IF(Q698&gt;=30,"MEDIUM","LOW")))</f>
        <v/>
      </c>
    </row>
    <row r="699">
      <c r="A699" t="n">
        <v>698</v>
      </c>
      <c r="R699">
        <f>IF(Q699="","",IF(Q699&gt;=60,"HIGH",IF(Q699&gt;=30,"MEDIUM","LOW")))</f>
        <v/>
      </c>
    </row>
    <row r="700">
      <c r="A700" t="n">
        <v>699</v>
      </c>
      <c r="R700">
        <f>IF(Q700="","",IF(Q700&gt;=60,"HIGH",IF(Q700&gt;=30,"MEDIUM","LOW")))</f>
        <v/>
      </c>
    </row>
    <row r="701">
      <c r="A701" t="n">
        <v>700</v>
      </c>
      <c r="R701">
        <f>IF(Q701="","",IF(Q701&gt;=60,"HIGH",IF(Q701&gt;=30,"MEDIUM","LOW")))</f>
        <v/>
      </c>
    </row>
    <row r="702">
      <c r="A702" t="n">
        <v>701</v>
      </c>
      <c r="R702">
        <f>IF(Q702="","",IF(Q702&gt;=60,"HIGH",IF(Q702&gt;=30,"MEDIUM","LOW")))</f>
        <v/>
      </c>
    </row>
    <row r="703">
      <c r="A703" t="n">
        <v>702</v>
      </c>
      <c r="R703">
        <f>IF(Q703="","",IF(Q703&gt;=60,"HIGH",IF(Q703&gt;=30,"MEDIUM","LOW")))</f>
        <v/>
      </c>
    </row>
    <row r="704">
      <c r="A704" t="n">
        <v>703</v>
      </c>
      <c r="R704">
        <f>IF(Q704="","",IF(Q704&gt;=60,"HIGH",IF(Q704&gt;=30,"MEDIUM","LOW")))</f>
        <v/>
      </c>
    </row>
    <row r="705">
      <c r="A705" t="n">
        <v>704</v>
      </c>
      <c r="R705">
        <f>IF(Q705="","",IF(Q705&gt;=60,"HIGH",IF(Q705&gt;=30,"MEDIUM","LOW")))</f>
        <v/>
      </c>
    </row>
    <row r="706">
      <c r="A706" t="n">
        <v>705</v>
      </c>
      <c r="R706">
        <f>IF(Q706="","",IF(Q706&gt;=60,"HIGH",IF(Q706&gt;=30,"MEDIUM","LOW")))</f>
        <v/>
      </c>
    </row>
    <row r="707">
      <c r="A707" t="n">
        <v>706</v>
      </c>
      <c r="R707">
        <f>IF(Q707="","",IF(Q707&gt;=60,"HIGH",IF(Q707&gt;=30,"MEDIUM","LOW")))</f>
        <v/>
      </c>
    </row>
    <row r="708">
      <c r="A708" t="n">
        <v>707</v>
      </c>
      <c r="R708">
        <f>IF(Q708="","",IF(Q708&gt;=60,"HIGH",IF(Q708&gt;=30,"MEDIUM","LOW")))</f>
        <v/>
      </c>
    </row>
    <row r="709">
      <c r="A709" t="n">
        <v>708</v>
      </c>
      <c r="R709">
        <f>IF(Q709="","",IF(Q709&gt;=60,"HIGH",IF(Q709&gt;=30,"MEDIUM","LOW")))</f>
        <v/>
      </c>
    </row>
    <row r="710">
      <c r="A710" t="n">
        <v>709</v>
      </c>
      <c r="R710">
        <f>IF(Q710="","",IF(Q710&gt;=60,"HIGH",IF(Q710&gt;=30,"MEDIUM","LOW")))</f>
        <v/>
      </c>
    </row>
    <row r="711">
      <c r="A711" t="n">
        <v>710</v>
      </c>
      <c r="R711">
        <f>IF(Q711="","",IF(Q711&gt;=60,"HIGH",IF(Q711&gt;=30,"MEDIUM","LOW")))</f>
        <v/>
      </c>
    </row>
    <row r="712">
      <c r="A712" t="n">
        <v>711</v>
      </c>
      <c r="R712">
        <f>IF(Q712="","",IF(Q712&gt;=60,"HIGH",IF(Q712&gt;=30,"MEDIUM","LOW")))</f>
        <v/>
      </c>
    </row>
    <row r="713">
      <c r="A713" t="n">
        <v>712</v>
      </c>
      <c r="R713">
        <f>IF(Q713="","",IF(Q713&gt;=60,"HIGH",IF(Q713&gt;=30,"MEDIUM","LOW")))</f>
        <v/>
      </c>
    </row>
    <row r="714">
      <c r="A714" t="n">
        <v>713</v>
      </c>
      <c r="R714">
        <f>IF(Q714="","",IF(Q714&gt;=60,"HIGH",IF(Q714&gt;=30,"MEDIUM","LOW")))</f>
        <v/>
      </c>
    </row>
    <row r="715">
      <c r="A715" t="n">
        <v>714</v>
      </c>
      <c r="R715">
        <f>IF(Q715="","",IF(Q715&gt;=60,"HIGH",IF(Q715&gt;=30,"MEDIUM","LOW")))</f>
        <v/>
      </c>
    </row>
    <row r="716">
      <c r="A716" t="n">
        <v>715</v>
      </c>
      <c r="R716">
        <f>IF(Q716="","",IF(Q716&gt;=60,"HIGH",IF(Q716&gt;=30,"MEDIUM","LOW")))</f>
        <v/>
      </c>
    </row>
    <row r="717">
      <c r="A717" t="n">
        <v>716</v>
      </c>
      <c r="R717">
        <f>IF(Q717="","",IF(Q717&gt;=60,"HIGH",IF(Q717&gt;=30,"MEDIUM","LOW")))</f>
        <v/>
      </c>
    </row>
    <row r="718">
      <c r="A718" t="n">
        <v>717</v>
      </c>
      <c r="R718">
        <f>IF(Q718="","",IF(Q718&gt;=60,"HIGH",IF(Q718&gt;=30,"MEDIUM","LOW")))</f>
        <v/>
      </c>
    </row>
    <row r="719">
      <c r="A719" t="n">
        <v>718</v>
      </c>
      <c r="R719">
        <f>IF(Q719="","",IF(Q719&gt;=60,"HIGH",IF(Q719&gt;=30,"MEDIUM","LOW")))</f>
        <v/>
      </c>
    </row>
    <row r="720">
      <c r="A720" t="n">
        <v>719</v>
      </c>
      <c r="R720">
        <f>IF(Q720="","",IF(Q720&gt;=60,"HIGH",IF(Q720&gt;=30,"MEDIUM","LOW")))</f>
        <v/>
      </c>
    </row>
    <row r="721">
      <c r="A721" t="n">
        <v>720</v>
      </c>
      <c r="R721">
        <f>IF(Q721="","",IF(Q721&gt;=60,"HIGH",IF(Q721&gt;=30,"MEDIUM","LOW")))</f>
        <v/>
      </c>
    </row>
    <row r="722">
      <c r="A722" t="n">
        <v>721</v>
      </c>
      <c r="R722">
        <f>IF(Q722="","",IF(Q722&gt;=60,"HIGH",IF(Q722&gt;=30,"MEDIUM","LOW")))</f>
        <v/>
      </c>
    </row>
    <row r="723">
      <c r="A723" t="n">
        <v>722</v>
      </c>
      <c r="R723">
        <f>IF(Q723="","",IF(Q723&gt;=60,"HIGH",IF(Q723&gt;=30,"MEDIUM","LOW")))</f>
        <v/>
      </c>
    </row>
    <row r="724">
      <c r="A724" t="n">
        <v>723</v>
      </c>
      <c r="R724">
        <f>IF(Q724="","",IF(Q724&gt;=60,"HIGH",IF(Q724&gt;=30,"MEDIUM","LOW")))</f>
        <v/>
      </c>
    </row>
    <row r="725">
      <c r="A725" t="n">
        <v>724</v>
      </c>
      <c r="R725">
        <f>IF(Q725="","",IF(Q725&gt;=60,"HIGH",IF(Q725&gt;=30,"MEDIUM","LOW")))</f>
        <v/>
      </c>
    </row>
    <row r="726">
      <c r="A726" t="n">
        <v>725</v>
      </c>
      <c r="R726">
        <f>IF(Q726="","",IF(Q726&gt;=60,"HIGH",IF(Q726&gt;=30,"MEDIUM","LOW")))</f>
        <v/>
      </c>
    </row>
    <row r="727">
      <c r="A727" t="n">
        <v>726</v>
      </c>
      <c r="R727">
        <f>IF(Q727="","",IF(Q727&gt;=60,"HIGH",IF(Q727&gt;=30,"MEDIUM","LOW")))</f>
        <v/>
      </c>
    </row>
    <row r="728">
      <c r="A728" t="n">
        <v>727</v>
      </c>
      <c r="R728">
        <f>IF(Q728="","",IF(Q728&gt;=60,"HIGH",IF(Q728&gt;=30,"MEDIUM","LOW")))</f>
        <v/>
      </c>
    </row>
    <row r="729">
      <c r="A729" t="n">
        <v>728</v>
      </c>
      <c r="R729">
        <f>IF(Q729="","",IF(Q729&gt;=60,"HIGH",IF(Q729&gt;=30,"MEDIUM","LOW")))</f>
        <v/>
      </c>
    </row>
    <row r="730">
      <c r="A730" t="n">
        <v>729</v>
      </c>
      <c r="R730">
        <f>IF(Q730="","",IF(Q730&gt;=60,"HIGH",IF(Q730&gt;=30,"MEDIUM","LOW")))</f>
        <v/>
      </c>
    </row>
    <row r="731">
      <c r="A731" t="n">
        <v>730</v>
      </c>
      <c r="R731">
        <f>IF(Q731="","",IF(Q731&gt;=60,"HIGH",IF(Q731&gt;=30,"MEDIUM","LOW")))</f>
        <v/>
      </c>
    </row>
    <row r="732">
      <c r="A732" t="n">
        <v>731</v>
      </c>
      <c r="R732">
        <f>IF(Q732="","",IF(Q732&gt;=60,"HIGH",IF(Q732&gt;=30,"MEDIUM","LOW")))</f>
        <v/>
      </c>
    </row>
    <row r="733">
      <c r="A733" t="n">
        <v>732</v>
      </c>
      <c r="R733">
        <f>IF(Q733="","",IF(Q733&gt;=60,"HIGH",IF(Q733&gt;=30,"MEDIUM","LOW")))</f>
        <v/>
      </c>
    </row>
    <row r="734">
      <c r="A734" t="n">
        <v>733</v>
      </c>
      <c r="R734">
        <f>IF(Q734="","",IF(Q734&gt;=60,"HIGH",IF(Q734&gt;=30,"MEDIUM","LOW")))</f>
        <v/>
      </c>
    </row>
    <row r="735">
      <c r="A735" t="n">
        <v>734</v>
      </c>
      <c r="R735">
        <f>IF(Q735="","",IF(Q735&gt;=60,"HIGH",IF(Q735&gt;=30,"MEDIUM","LOW")))</f>
        <v/>
      </c>
    </row>
    <row r="736">
      <c r="A736" t="n">
        <v>735</v>
      </c>
      <c r="R736">
        <f>IF(Q736="","",IF(Q736&gt;=60,"HIGH",IF(Q736&gt;=30,"MEDIUM","LOW")))</f>
        <v/>
      </c>
    </row>
    <row r="737">
      <c r="A737" t="n">
        <v>736</v>
      </c>
      <c r="R737">
        <f>IF(Q737="","",IF(Q737&gt;=60,"HIGH",IF(Q737&gt;=30,"MEDIUM","LOW")))</f>
        <v/>
      </c>
    </row>
    <row r="738">
      <c r="A738" t="n">
        <v>737</v>
      </c>
      <c r="R738">
        <f>IF(Q738="","",IF(Q738&gt;=60,"HIGH",IF(Q738&gt;=30,"MEDIUM","LOW")))</f>
        <v/>
      </c>
    </row>
    <row r="739">
      <c r="A739" t="n">
        <v>738</v>
      </c>
      <c r="R739">
        <f>IF(Q739="","",IF(Q739&gt;=60,"HIGH",IF(Q739&gt;=30,"MEDIUM","LOW")))</f>
        <v/>
      </c>
    </row>
    <row r="740">
      <c r="A740" t="n">
        <v>739</v>
      </c>
      <c r="R740">
        <f>IF(Q740="","",IF(Q740&gt;=60,"HIGH",IF(Q740&gt;=30,"MEDIUM","LOW")))</f>
        <v/>
      </c>
    </row>
    <row r="741">
      <c r="A741" t="n">
        <v>740</v>
      </c>
      <c r="R741">
        <f>IF(Q741="","",IF(Q741&gt;=60,"HIGH",IF(Q741&gt;=30,"MEDIUM","LOW")))</f>
        <v/>
      </c>
    </row>
    <row r="742">
      <c r="A742" t="n">
        <v>741</v>
      </c>
      <c r="R742">
        <f>IF(Q742="","",IF(Q742&gt;=60,"HIGH",IF(Q742&gt;=30,"MEDIUM","LOW")))</f>
        <v/>
      </c>
    </row>
    <row r="743">
      <c r="A743" t="n">
        <v>742</v>
      </c>
      <c r="R743">
        <f>IF(Q743="","",IF(Q743&gt;=60,"HIGH",IF(Q743&gt;=30,"MEDIUM","LOW")))</f>
        <v/>
      </c>
    </row>
    <row r="744">
      <c r="A744" t="n">
        <v>743</v>
      </c>
      <c r="R744">
        <f>IF(Q744="","",IF(Q744&gt;=60,"HIGH",IF(Q744&gt;=30,"MEDIUM","LOW")))</f>
        <v/>
      </c>
    </row>
    <row r="745">
      <c r="A745" t="n">
        <v>744</v>
      </c>
      <c r="R745">
        <f>IF(Q745="","",IF(Q745&gt;=60,"HIGH",IF(Q745&gt;=30,"MEDIUM","LOW")))</f>
        <v/>
      </c>
    </row>
    <row r="746">
      <c r="A746" t="n">
        <v>745</v>
      </c>
      <c r="R746">
        <f>IF(Q746="","",IF(Q746&gt;=60,"HIGH",IF(Q746&gt;=30,"MEDIUM","LOW")))</f>
        <v/>
      </c>
    </row>
    <row r="747">
      <c r="A747" t="n">
        <v>746</v>
      </c>
      <c r="R747">
        <f>IF(Q747="","",IF(Q747&gt;=60,"HIGH",IF(Q747&gt;=30,"MEDIUM","LOW")))</f>
        <v/>
      </c>
    </row>
    <row r="748">
      <c r="A748" t="n">
        <v>747</v>
      </c>
      <c r="R748">
        <f>IF(Q748="","",IF(Q748&gt;=60,"HIGH",IF(Q748&gt;=30,"MEDIUM","LOW")))</f>
        <v/>
      </c>
    </row>
    <row r="749">
      <c r="A749" t="n">
        <v>748</v>
      </c>
      <c r="R749">
        <f>IF(Q749="","",IF(Q749&gt;=60,"HIGH",IF(Q749&gt;=30,"MEDIUM","LOW")))</f>
        <v/>
      </c>
    </row>
    <row r="750">
      <c r="A750" t="n">
        <v>749</v>
      </c>
      <c r="R750">
        <f>IF(Q750="","",IF(Q750&gt;=60,"HIGH",IF(Q750&gt;=30,"MEDIUM","LOW")))</f>
        <v/>
      </c>
    </row>
    <row r="751">
      <c r="A751" t="n">
        <v>750</v>
      </c>
      <c r="R751">
        <f>IF(Q751="","",IF(Q751&gt;=60,"HIGH",IF(Q751&gt;=30,"MEDIUM","LOW")))</f>
        <v/>
      </c>
    </row>
    <row r="752">
      <c r="A752" t="n">
        <v>751</v>
      </c>
      <c r="R752">
        <f>IF(Q752="","",IF(Q752&gt;=60,"HIGH",IF(Q752&gt;=30,"MEDIUM","LOW")))</f>
        <v/>
      </c>
    </row>
    <row r="753">
      <c r="A753" t="n">
        <v>752</v>
      </c>
      <c r="R753">
        <f>IF(Q753="","",IF(Q753&gt;=60,"HIGH",IF(Q753&gt;=30,"MEDIUM","LOW")))</f>
        <v/>
      </c>
    </row>
    <row r="754">
      <c r="A754" t="n">
        <v>753</v>
      </c>
      <c r="R754">
        <f>IF(Q754="","",IF(Q754&gt;=60,"HIGH",IF(Q754&gt;=30,"MEDIUM","LOW")))</f>
        <v/>
      </c>
    </row>
    <row r="755">
      <c r="A755" t="n">
        <v>754</v>
      </c>
      <c r="R755">
        <f>IF(Q755="","",IF(Q755&gt;=60,"HIGH",IF(Q755&gt;=30,"MEDIUM","LOW")))</f>
        <v/>
      </c>
    </row>
    <row r="756">
      <c r="A756" t="n">
        <v>755</v>
      </c>
      <c r="R756">
        <f>IF(Q756="","",IF(Q756&gt;=60,"HIGH",IF(Q756&gt;=30,"MEDIUM","LOW")))</f>
        <v/>
      </c>
    </row>
    <row r="757">
      <c r="A757" t="n">
        <v>756</v>
      </c>
      <c r="R757">
        <f>IF(Q757="","",IF(Q757&gt;=60,"HIGH",IF(Q757&gt;=30,"MEDIUM","LOW")))</f>
        <v/>
      </c>
    </row>
    <row r="758">
      <c r="A758" t="n">
        <v>757</v>
      </c>
      <c r="R758">
        <f>IF(Q758="","",IF(Q758&gt;=60,"HIGH",IF(Q758&gt;=30,"MEDIUM","LOW")))</f>
        <v/>
      </c>
    </row>
    <row r="759">
      <c r="A759" t="n">
        <v>758</v>
      </c>
      <c r="R759">
        <f>IF(Q759="","",IF(Q759&gt;=60,"HIGH",IF(Q759&gt;=30,"MEDIUM","LOW")))</f>
        <v/>
      </c>
    </row>
    <row r="760">
      <c r="A760" t="n">
        <v>759</v>
      </c>
      <c r="R760">
        <f>IF(Q760="","",IF(Q760&gt;=60,"HIGH",IF(Q760&gt;=30,"MEDIUM","LOW")))</f>
        <v/>
      </c>
    </row>
    <row r="761">
      <c r="A761" t="n">
        <v>760</v>
      </c>
      <c r="R761">
        <f>IF(Q761="","",IF(Q761&gt;=60,"HIGH",IF(Q761&gt;=30,"MEDIUM","LOW")))</f>
        <v/>
      </c>
    </row>
    <row r="762">
      <c r="A762" t="n">
        <v>761</v>
      </c>
      <c r="R762">
        <f>IF(Q762="","",IF(Q762&gt;=60,"HIGH",IF(Q762&gt;=30,"MEDIUM","LOW")))</f>
        <v/>
      </c>
    </row>
    <row r="763">
      <c r="A763" t="n">
        <v>762</v>
      </c>
      <c r="R763">
        <f>IF(Q763="","",IF(Q763&gt;=60,"HIGH",IF(Q763&gt;=30,"MEDIUM","LOW")))</f>
        <v/>
      </c>
    </row>
    <row r="764">
      <c r="A764" t="n">
        <v>763</v>
      </c>
      <c r="R764">
        <f>IF(Q764="","",IF(Q764&gt;=60,"HIGH",IF(Q764&gt;=30,"MEDIUM","LOW")))</f>
        <v/>
      </c>
    </row>
    <row r="765">
      <c r="A765" t="n">
        <v>764</v>
      </c>
      <c r="R765">
        <f>IF(Q765="","",IF(Q765&gt;=60,"HIGH",IF(Q765&gt;=30,"MEDIUM","LOW")))</f>
        <v/>
      </c>
    </row>
    <row r="766">
      <c r="A766" t="n">
        <v>765</v>
      </c>
      <c r="R766">
        <f>IF(Q766="","",IF(Q766&gt;=60,"HIGH",IF(Q766&gt;=30,"MEDIUM","LOW")))</f>
        <v/>
      </c>
    </row>
    <row r="767">
      <c r="A767" t="n">
        <v>766</v>
      </c>
      <c r="R767">
        <f>IF(Q767="","",IF(Q767&gt;=60,"HIGH",IF(Q767&gt;=30,"MEDIUM","LOW")))</f>
        <v/>
      </c>
    </row>
    <row r="768">
      <c r="A768" t="n">
        <v>767</v>
      </c>
      <c r="R768">
        <f>IF(Q768="","",IF(Q768&gt;=60,"HIGH",IF(Q768&gt;=30,"MEDIUM","LOW")))</f>
        <v/>
      </c>
    </row>
    <row r="769">
      <c r="A769" t="n">
        <v>768</v>
      </c>
      <c r="R769">
        <f>IF(Q769="","",IF(Q769&gt;=60,"HIGH",IF(Q769&gt;=30,"MEDIUM","LOW")))</f>
        <v/>
      </c>
    </row>
    <row r="770">
      <c r="A770" t="n">
        <v>769</v>
      </c>
      <c r="R770">
        <f>IF(Q770="","",IF(Q770&gt;=60,"HIGH",IF(Q770&gt;=30,"MEDIUM","LOW")))</f>
        <v/>
      </c>
    </row>
    <row r="771">
      <c r="A771" t="n">
        <v>770</v>
      </c>
      <c r="R771">
        <f>IF(Q771="","",IF(Q771&gt;=60,"HIGH",IF(Q771&gt;=30,"MEDIUM","LOW")))</f>
        <v/>
      </c>
    </row>
    <row r="772">
      <c r="A772" t="n">
        <v>771</v>
      </c>
      <c r="R772">
        <f>IF(Q772="","",IF(Q772&gt;=60,"HIGH",IF(Q772&gt;=30,"MEDIUM","LOW")))</f>
        <v/>
      </c>
    </row>
    <row r="773">
      <c r="A773" t="n">
        <v>772</v>
      </c>
      <c r="R773">
        <f>IF(Q773="","",IF(Q773&gt;=60,"HIGH",IF(Q773&gt;=30,"MEDIUM","LOW")))</f>
        <v/>
      </c>
    </row>
    <row r="774">
      <c r="A774" t="n">
        <v>773</v>
      </c>
      <c r="R774">
        <f>IF(Q774="","",IF(Q774&gt;=60,"HIGH",IF(Q774&gt;=30,"MEDIUM","LOW")))</f>
        <v/>
      </c>
    </row>
    <row r="775">
      <c r="A775" t="n">
        <v>774</v>
      </c>
      <c r="R775">
        <f>IF(Q775="","",IF(Q775&gt;=60,"HIGH",IF(Q775&gt;=30,"MEDIUM","LOW")))</f>
        <v/>
      </c>
    </row>
    <row r="776">
      <c r="A776" t="n">
        <v>775</v>
      </c>
      <c r="R776">
        <f>IF(Q776="","",IF(Q776&gt;=60,"HIGH",IF(Q776&gt;=30,"MEDIUM","LOW")))</f>
        <v/>
      </c>
    </row>
    <row r="777">
      <c r="A777" t="n">
        <v>776</v>
      </c>
      <c r="R777">
        <f>IF(Q777="","",IF(Q777&gt;=60,"HIGH",IF(Q777&gt;=30,"MEDIUM","LOW")))</f>
        <v/>
      </c>
    </row>
    <row r="778">
      <c r="A778" t="n">
        <v>777</v>
      </c>
      <c r="R778">
        <f>IF(Q778="","",IF(Q778&gt;=60,"HIGH",IF(Q778&gt;=30,"MEDIUM","LOW")))</f>
        <v/>
      </c>
    </row>
    <row r="779">
      <c r="A779" t="n">
        <v>778</v>
      </c>
      <c r="R779">
        <f>IF(Q779="","",IF(Q779&gt;=60,"HIGH",IF(Q779&gt;=30,"MEDIUM","LOW")))</f>
        <v/>
      </c>
    </row>
    <row r="780">
      <c r="A780" t="n">
        <v>779</v>
      </c>
      <c r="R780">
        <f>IF(Q780="","",IF(Q780&gt;=60,"HIGH",IF(Q780&gt;=30,"MEDIUM","LOW")))</f>
        <v/>
      </c>
    </row>
    <row r="781">
      <c r="A781" t="n">
        <v>780</v>
      </c>
      <c r="R781">
        <f>IF(Q781="","",IF(Q781&gt;=60,"HIGH",IF(Q781&gt;=30,"MEDIUM","LOW")))</f>
        <v/>
      </c>
    </row>
    <row r="782">
      <c r="A782" t="n">
        <v>781</v>
      </c>
      <c r="R782">
        <f>IF(Q782="","",IF(Q782&gt;=60,"HIGH",IF(Q782&gt;=30,"MEDIUM","LOW")))</f>
        <v/>
      </c>
    </row>
    <row r="783">
      <c r="A783" t="n">
        <v>782</v>
      </c>
      <c r="R783">
        <f>IF(Q783="","",IF(Q783&gt;=60,"HIGH",IF(Q783&gt;=30,"MEDIUM","LOW")))</f>
        <v/>
      </c>
    </row>
    <row r="784">
      <c r="A784" t="n">
        <v>783</v>
      </c>
      <c r="R784">
        <f>IF(Q784="","",IF(Q784&gt;=60,"HIGH",IF(Q784&gt;=30,"MEDIUM","LOW")))</f>
        <v/>
      </c>
    </row>
    <row r="785">
      <c r="A785" t="n">
        <v>784</v>
      </c>
      <c r="R785">
        <f>IF(Q785="","",IF(Q785&gt;=60,"HIGH",IF(Q785&gt;=30,"MEDIUM","LOW")))</f>
        <v/>
      </c>
    </row>
    <row r="786">
      <c r="A786" t="n">
        <v>785</v>
      </c>
      <c r="R786">
        <f>IF(Q786="","",IF(Q786&gt;=60,"HIGH",IF(Q786&gt;=30,"MEDIUM","LOW")))</f>
        <v/>
      </c>
    </row>
    <row r="787">
      <c r="A787" t="n">
        <v>786</v>
      </c>
      <c r="R787">
        <f>IF(Q787="","",IF(Q787&gt;=60,"HIGH",IF(Q787&gt;=30,"MEDIUM","LOW")))</f>
        <v/>
      </c>
    </row>
    <row r="788">
      <c r="A788" t="n">
        <v>787</v>
      </c>
      <c r="R788">
        <f>IF(Q788="","",IF(Q788&gt;=60,"HIGH",IF(Q788&gt;=30,"MEDIUM","LOW")))</f>
        <v/>
      </c>
    </row>
    <row r="789">
      <c r="A789" t="n">
        <v>788</v>
      </c>
      <c r="R789">
        <f>IF(Q789="","",IF(Q789&gt;=60,"HIGH",IF(Q789&gt;=30,"MEDIUM","LOW")))</f>
        <v/>
      </c>
    </row>
    <row r="790">
      <c r="A790" t="n">
        <v>789</v>
      </c>
      <c r="R790">
        <f>IF(Q790="","",IF(Q790&gt;=60,"HIGH",IF(Q790&gt;=30,"MEDIUM","LOW")))</f>
        <v/>
      </c>
    </row>
    <row r="791">
      <c r="A791" t="n">
        <v>790</v>
      </c>
      <c r="R791">
        <f>IF(Q791="","",IF(Q791&gt;=60,"HIGH",IF(Q791&gt;=30,"MEDIUM","LOW")))</f>
        <v/>
      </c>
    </row>
    <row r="792">
      <c r="A792" t="n">
        <v>791</v>
      </c>
      <c r="R792">
        <f>IF(Q792="","",IF(Q792&gt;=60,"HIGH",IF(Q792&gt;=30,"MEDIUM","LOW")))</f>
        <v/>
      </c>
    </row>
    <row r="793">
      <c r="A793" t="n">
        <v>792</v>
      </c>
      <c r="R793">
        <f>IF(Q793="","",IF(Q793&gt;=60,"HIGH",IF(Q793&gt;=30,"MEDIUM","LOW")))</f>
        <v/>
      </c>
    </row>
    <row r="794">
      <c r="A794" t="n">
        <v>793</v>
      </c>
      <c r="R794">
        <f>IF(Q794="","",IF(Q794&gt;=60,"HIGH",IF(Q794&gt;=30,"MEDIUM","LOW")))</f>
        <v/>
      </c>
    </row>
    <row r="795">
      <c r="A795" t="n">
        <v>794</v>
      </c>
      <c r="R795">
        <f>IF(Q795="","",IF(Q795&gt;=60,"HIGH",IF(Q795&gt;=30,"MEDIUM","LOW")))</f>
        <v/>
      </c>
    </row>
    <row r="796">
      <c r="A796" t="n">
        <v>795</v>
      </c>
      <c r="R796">
        <f>IF(Q796="","",IF(Q796&gt;=60,"HIGH",IF(Q796&gt;=30,"MEDIUM","LOW")))</f>
        <v/>
      </c>
    </row>
    <row r="797">
      <c r="A797" t="n">
        <v>796</v>
      </c>
      <c r="R797">
        <f>IF(Q797="","",IF(Q797&gt;=60,"HIGH",IF(Q797&gt;=30,"MEDIUM","LOW")))</f>
        <v/>
      </c>
    </row>
    <row r="798">
      <c r="A798" t="n">
        <v>797</v>
      </c>
      <c r="R798">
        <f>IF(Q798="","",IF(Q798&gt;=60,"HIGH",IF(Q798&gt;=30,"MEDIUM","LOW")))</f>
        <v/>
      </c>
    </row>
    <row r="799">
      <c r="A799" t="n">
        <v>798</v>
      </c>
      <c r="R799">
        <f>IF(Q799="","",IF(Q799&gt;=60,"HIGH",IF(Q799&gt;=30,"MEDIUM","LOW")))</f>
        <v/>
      </c>
    </row>
    <row r="800">
      <c r="A800" t="n">
        <v>799</v>
      </c>
      <c r="R800">
        <f>IF(Q800="","",IF(Q800&gt;=60,"HIGH",IF(Q800&gt;=30,"MEDIUM","LOW")))</f>
        <v/>
      </c>
    </row>
    <row r="801">
      <c r="A801" t="n">
        <v>800</v>
      </c>
      <c r="R801">
        <f>IF(Q801="","",IF(Q801&gt;=60,"HIGH",IF(Q801&gt;=30,"MEDIUM","LOW")))</f>
        <v/>
      </c>
    </row>
    <row r="802">
      <c r="A802" t="n">
        <v>801</v>
      </c>
      <c r="R802">
        <f>IF(Q802="","",IF(Q802&gt;=60,"HIGH",IF(Q802&gt;=30,"MEDIUM","LOW")))</f>
        <v/>
      </c>
    </row>
    <row r="803">
      <c r="A803" t="n">
        <v>802</v>
      </c>
      <c r="R803">
        <f>IF(Q803="","",IF(Q803&gt;=60,"HIGH",IF(Q803&gt;=30,"MEDIUM","LOW")))</f>
        <v/>
      </c>
    </row>
    <row r="804">
      <c r="A804" t="n">
        <v>803</v>
      </c>
      <c r="R804">
        <f>IF(Q804="","",IF(Q804&gt;=60,"HIGH",IF(Q804&gt;=30,"MEDIUM","LOW")))</f>
        <v/>
      </c>
    </row>
    <row r="805">
      <c r="A805" t="n">
        <v>804</v>
      </c>
      <c r="R805">
        <f>IF(Q805="","",IF(Q805&gt;=60,"HIGH",IF(Q805&gt;=30,"MEDIUM","LOW")))</f>
        <v/>
      </c>
    </row>
    <row r="806">
      <c r="A806" t="n">
        <v>805</v>
      </c>
      <c r="R806">
        <f>IF(Q806="","",IF(Q806&gt;=60,"HIGH",IF(Q806&gt;=30,"MEDIUM","LOW")))</f>
        <v/>
      </c>
    </row>
    <row r="807">
      <c r="A807" t="n">
        <v>806</v>
      </c>
      <c r="R807">
        <f>IF(Q807="","",IF(Q807&gt;=60,"HIGH",IF(Q807&gt;=30,"MEDIUM","LOW")))</f>
        <v/>
      </c>
    </row>
    <row r="808">
      <c r="A808" t="n">
        <v>807</v>
      </c>
      <c r="R808">
        <f>IF(Q808="","",IF(Q808&gt;=60,"HIGH",IF(Q808&gt;=30,"MEDIUM","LOW")))</f>
        <v/>
      </c>
    </row>
    <row r="809">
      <c r="A809" t="n">
        <v>808</v>
      </c>
      <c r="R809">
        <f>IF(Q809="","",IF(Q809&gt;=60,"HIGH",IF(Q809&gt;=30,"MEDIUM","LOW")))</f>
        <v/>
      </c>
    </row>
    <row r="810">
      <c r="A810" t="n">
        <v>809</v>
      </c>
      <c r="R810">
        <f>IF(Q810="","",IF(Q810&gt;=60,"HIGH",IF(Q810&gt;=30,"MEDIUM","LOW")))</f>
        <v/>
      </c>
    </row>
    <row r="811">
      <c r="A811" t="n">
        <v>810</v>
      </c>
      <c r="R811">
        <f>IF(Q811="","",IF(Q811&gt;=60,"HIGH",IF(Q811&gt;=30,"MEDIUM","LOW")))</f>
        <v/>
      </c>
    </row>
    <row r="812">
      <c r="A812" t="n">
        <v>811</v>
      </c>
      <c r="R812">
        <f>IF(Q812="","",IF(Q812&gt;=60,"HIGH",IF(Q812&gt;=30,"MEDIUM","LOW")))</f>
        <v/>
      </c>
    </row>
    <row r="813">
      <c r="A813" t="n">
        <v>812</v>
      </c>
      <c r="R813">
        <f>IF(Q813="","",IF(Q813&gt;=60,"HIGH",IF(Q813&gt;=30,"MEDIUM","LOW")))</f>
        <v/>
      </c>
    </row>
    <row r="814">
      <c r="A814" t="n">
        <v>813</v>
      </c>
      <c r="R814">
        <f>IF(Q814="","",IF(Q814&gt;=60,"HIGH",IF(Q814&gt;=30,"MEDIUM","LOW")))</f>
        <v/>
      </c>
    </row>
    <row r="815">
      <c r="A815" t="n">
        <v>814</v>
      </c>
      <c r="R815">
        <f>IF(Q815="","",IF(Q815&gt;=60,"HIGH",IF(Q815&gt;=30,"MEDIUM","LOW")))</f>
        <v/>
      </c>
    </row>
    <row r="816">
      <c r="A816" t="n">
        <v>815</v>
      </c>
      <c r="R816">
        <f>IF(Q816="","",IF(Q816&gt;=60,"HIGH",IF(Q816&gt;=30,"MEDIUM","LOW")))</f>
        <v/>
      </c>
    </row>
    <row r="817">
      <c r="A817" t="n">
        <v>816</v>
      </c>
      <c r="R817">
        <f>IF(Q817="","",IF(Q817&gt;=60,"HIGH",IF(Q817&gt;=30,"MEDIUM","LOW")))</f>
        <v/>
      </c>
    </row>
    <row r="818">
      <c r="A818" t="n">
        <v>817</v>
      </c>
      <c r="R818">
        <f>IF(Q818="","",IF(Q818&gt;=60,"HIGH",IF(Q818&gt;=30,"MEDIUM","LOW")))</f>
        <v/>
      </c>
    </row>
    <row r="819">
      <c r="A819" t="n">
        <v>818</v>
      </c>
      <c r="R819">
        <f>IF(Q819="","",IF(Q819&gt;=60,"HIGH",IF(Q819&gt;=30,"MEDIUM","LOW")))</f>
        <v/>
      </c>
    </row>
    <row r="820">
      <c r="A820" t="n">
        <v>819</v>
      </c>
      <c r="R820">
        <f>IF(Q820="","",IF(Q820&gt;=60,"HIGH",IF(Q820&gt;=30,"MEDIUM","LOW")))</f>
        <v/>
      </c>
    </row>
    <row r="821">
      <c r="A821" t="n">
        <v>820</v>
      </c>
      <c r="R821">
        <f>IF(Q821="","",IF(Q821&gt;=60,"HIGH",IF(Q821&gt;=30,"MEDIUM","LOW")))</f>
        <v/>
      </c>
    </row>
    <row r="822">
      <c r="A822" t="n">
        <v>821</v>
      </c>
      <c r="R822">
        <f>IF(Q822="","",IF(Q822&gt;=60,"HIGH",IF(Q822&gt;=30,"MEDIUM","LOW")))</f>
        <v/>
      </c>
    </row>
    <row r="823">
      <c r="A823" t="n">
        <v>822</v>
      </c>
      <c r="R823">
        <f>IF(Q823="","",IF(Q823&gt;=60,"HIGH",IF(Q823&gt;=30,"MEDIUM","LOW")))</f>
        <v/>
      </c>
    </row>
    <row r="824">
      <c r="A824" t="n">
        <v>823</v>
      </c>
      <c r="R824">
        <f>IF(Q824="","",IF(Q824&gt;=60,"HIGH",IF(Q824&gt;=30,"MEDIUM","LOW")))</f>
        <v/>
      </c>
    </row>
    <row r="825">
      <c r="A825" t="n">
        <v>824</v>
      </c>
      <c r="R825">
        <f>IF(Q825="","",IF(Q825&gt;=60,"HIGH",IF(Q825&gt;=30,"MEDIUM","LOW")))</f>
        <v/>
      </c>
    </row>
    <row r="826">
      <c r="A826" t="n">
        <v>825</v>
      </c>
      <c r="R826">
        <f>IF(Q826="","",IF(Q826&gt;=60,"HIGH",IF(Q826&gt;=30,"MEDIUM","LOW")))</f>
        <v/>
      </c>
    </row>
    <row r="827">
      <c r="A827" t="n">
        <v>826</v>
      </c>
      <c r="R827">
        <f>IF(Q827="","",IF(Q827&gt;=60,"HIGH",IF(Q827&gt;=30,"MEDIUM","LOW")))</f>
        <v/>
      </c>
    </row>
    <row r="828">
      <c r="A828" t="n">
        <v>827</v>
      </c>
      <c r="R828">
        <f>IF(Q828="","",IF(Q828&gt;=60,"HIGH",IF(Q828&gt;=30,"MEDIUM","LOW")))</f>
        <v/>
      </c>
    </row>
    <row r="829">
      <c r="A829" t="n">
        <v>828</v>
      </c>
      <c r="R829">
        <f>IF(Q829="","",IF(Q829&gt;=60,"HIGH",IF(Q829&gt;=30,"MEDIUM","LOW")))</f>
        <v/>
      </c>
    </row>
    <row r="830">
      <c r="A830" t="n">
        <v>829</v>
      </c>
      <c r="R830">
        <f>IF(Q830="","",IF(Q830&gt;=60,"HIGH",IF(Q830&gt;=30,"MEDIUM","LOW")))</f>
        <v/>
      </c>
    </row>
    <row r="831">
      <c r="A831" t="n">
        <v>830</v>
      </c>
      <c r="R831">
        <f>IF(Q831="","",IF(Q831&gt;=60,"HIGH",IF(Q831&gt;=30,"MEDIUM","LOW")))</f>
        <v/>
      </c>
    </row>
    <row r="832">
      <c r="A832" t="n">
        <v>831</v>
      </c>
      <c r="R832">
        <f>IF(Q832="","",IF(Q832&gt;=60,"HIGH",IF(Q832&gt;=30,"MEDIUM","LOW")))</f>
        <v/>
      </c>
    </row>
    <row r="833">
      <c r="A833" t="n">
        <v>832</v>
      </c>
      <c r="R833">
        <f>IF(Q833="","",IF(Q833&gt;=60,"HIGH",IF(Q833&gt;=30,"MEDIUM","LOW")))</f>
        <v/>
      </c>
    </row>
    <row r="834">
      <c r="A834" t="n">
        <v>833</v>
      </c>
      <c r="R834">
        <f>IF(Q834="","",IF(Q834&gt;=60,"HIGH",IF(Q834&gt;=30,"MEDIUM","LOW")))</f>
        <v/>
      </c>
    </row>
    <row r="835">
      <c r="A835" t="n">
        <v>834</v>
      </c>
      <c r="R835">
        <f>IF(Q835="","",IF(Q835&gt;=60,"HIGH",IF(Q835&gt;=30,"MEDIUM","LOW")))</f>
        <v/>
      </c>
    </row>
    <row r="836">
      <c r="A836" t="n">
        <v>835</v>
      </c>
      <c r="R836">
        <f>IF(Q836="","",IF(Q836&gt;=60,"HIGH",IF(Q836&gt;=30,"MEDIUM","LOW")))</f>
        <v/>
      </c>
    </row>
    <row r="837">
      <c r="A837" t="n">
        <v>836</v>
      </c>
      <c r="R837">
        <f>IF(Q837="","",IF(Q837&gt;=60,"HIGH",IF(Q837&gt;=30,"MEDIUM","LOW")))</f>
        <v/>
      </c>
    </row>
    <row r="838">
      <c r="A838" t="n">
        <v>837</v>
      </c>
      <c r="R838">
        <f>IF(Q838="","",IF(Q838&gt;=60,"HIGH",IF(Q838&gt;=30,"MEDIUM","LOW")))</f>
        <v/>
      </c>
    </row>
    <row r="839">
      <c r="A839" t="n">
        <v>838</v>
      </c>
      <c r="R839">
        <f>IF(Q839="","",IF(Q839&gt;=60,"HIGH",IF(Q839&gt;=30,"MEDIUM","LOW")))</f>
        <v/>
      </c>
    </row>
    <row r="840">
      <c r="A840" t="n">
        <v>839</v>
      </c>
      <c r="R840">
        <f>IF(Q840="","",IF(Q840&gt;=60,"HIGH",IF(Q840&gt;=30,"MEDIUM","LOW")))</f>
        <v/>
      </c>
    </row>
    <row r="841">
      <c r="A841" t="n">
        <v>840</v>
      </c>
      <c r="R841">
        <f>IF(Q841="","",IF(Q841&gt;=60,"HIGH",IF(Q841&gt;=30,"MEDIUM","LOW")))</f>
        <v/>
      </c>
    </row>
    <row r="842">
      <c r="A842" t="n">
        <v>841</v>
      </c>
      <c r="R842">
        <f>IF(Q842="","",IF(Q842&gt;=60,"HIGH",IF(Q842&gt;=30,"MEDIUM","LOW")))</f>
        <v/>
      </c>
    </row>
    <row r="843">
      <c r="A843" t="n">
        <v>842</v>
      </c>
      <c r="R843">
        <f>IF(Q843="","",IF(Q843&gt;=60,"HIGH",IF(Q843&gt;=30,"MEDIUM","LOW")))</f>
        <v/>
      </c>
    </row>
    <row r="844">
      <c r="A844" t="n">
        <v>843</v>
      </c>
      <c r="R844">
        <f>IF(Q844="","",IF(Q844&gt;=60,"HIGH",IF(Q844&gt;=30,"MEDIUM","LOW")))</f>
        <v/>
      </c>
    </row>
    <row r="845">
      <c r="A845" t="n">
        <v>844</v>
      </c>
      <c r="R845">
        <f>IF(Q845="","",IF(Q845&gt;=60,"HIGH",IF(Q845&gt;=30,"MEDIUM","LOW")))</f>
        <v/>
      </c>
    </row>
    <row r="846">
      <c r="A846" t="n">
        <v>845</v>
      </c>
      <c r="R846">
        <f>IF(Q846="","",IF(Q846&gt;=60,"HIGH",IF(Q846&gt;=30,"MEDIUM","LOW")))</f>
        <v/>
      </c>
    </row>
    <row r="847">
      <c r="A847" t="n">
        <v>846</v>
      </c>
      <c r="R847">
        <f>IF(Q847="","",IF(Q847&gt;=60,"HIGH",IF(Q847&gt;=30,"MEDIUM","LOW")))</f>
        <v/>
      </c>
    </row>
    <row r="848">
      <c r="A848" t="n">
        <v>847</v>
      </c>
      <c r="R848">
        <f>IF(Q848="","",IF(Q848&gt;=60,"HIGH",IF(Q848&gt;=30,"MEDIUM","LOW")))</f>
        <v/>
      </c>
    </row>
    <row r="849">
      <c r="A849" t="n">
        <v>848</v>
      </c>
      <c r="R849">
        <f>IF(Q849="","",IF(Q849&gt;=60,"HIGH",IF(Q849&gt;=30,"MEDIUM","LOW")))</f>
        <v/>
      </c>
    </row>
    <row r="850">
      <c r="A850" t="n">
        <v>849</v>
      </c>
      <c r="R850">
        <f>IF(Q850="","",IF(Q850&gt;=60,"HIGH",IF(Q850&gt;=30,"MEDIUM","LOW")))</f>
        <v/>
      </c>
    </row>
    <row r="851">
      <c r="A851" t="n">
        <v>850</v>
      </c>
      <c r="R851">
        <f>IF(Q851="","",IF(Q851&gt;=60,"HIGH",IF(Q851&gt;=30,"MEDIUM","LOW")))</f>
        <v/>
      </c>
    </row>
    <row r="852">
      <c r="A852" t="n">
        <v>851</v>
      </c>
      <c r="R852">
        <f>IF(Q852="","",IF(Q852&gt;=60,"HIGH",IF(Q852&gt;=30,"MEDIUM","LOW")))</f>
        <v/>
      </c>
    </row>
    <row r="853">
      <c r="A853" t="n">
        <v>852</v>
      </c>
      <c r="R853">
        <f>IF(Q853="","",IF(Q853&gt;=60,"HIGH",IF(Q853&gt;=30,"MEDIUM","LOW")))</f>
        <v/>
      </c>
    </row>
    <row r="854">
      <c r="A854" t="n">
        <v>853</v>
      </c>
      <c r="R854">
        <f>IF(Q854="","",IF(Q854&gt;=60,"HIGH",IF(Q854&gt;=30,"MEDIUM","LOW")))</f>
        <v/>
      </c>
    </row>
    <row r="855">
      <c r="A855" t="n">
        <v>854</v>
      </c>
      <c r="R855">
        <f>IF(Q855="","",IF(Q855&gt;=60,"HIGH",IF(Q855&gt;=30,"MEDIUM","LOW")))</f>
        <v/>
      </c>
    </row>
    <row r="856">
      <c r="A856" t="n">
        <v>855</v>
      </c>
      <c r="R856">
        <f>IF(Q856="","",IF(Q856&gt;=60,"HIGH",IF(Q856&gt;=30,"MEDIUM","LOW")))</f>
        <v/>
      </c>
    </row>
    <row r="857">
      <c r="A857" t="n">
        <v>856</v>
      </c>
      <c r="R857">
        <f>IF(Q857="","",IF(Q857&gt;=60,"HIGH",IF(Q857&gt;=30,"MEDIUM","LOW")))</f>
        <v/>
      </c>
    </row>
    <row r="858">
      <c r="A858" t="n">
        <v>857</v>
      </c>
      <c r="R858">
        <f>IF(Q858="","",IF(Q858&gt;=60,"HIGH",IF(Q858&gt;=30,"MEDIUM","LOW")))</f>
        <v/>
      </c>
    </row>
    <row r="859">
      <c r="A859" t="n">
        <v>858</v>
      </c>
      <c r="R859">
        <f>IF(Q859="","",IF(Q859&gt;=60,"HIGH",IF(Q859&gt;=30,"MEDIUM","LOW")))</f>
        <v/>
      </c>
    </row>
    <row r="860">
      <c r="A860" t="n">
        <v>859</v>
      </c>
      <c r="R860">
        <f>IF(Q860="","",IF(Q860&gt;=60,"HIGH",IF(Q860&gt;=30,"MEDIUM","LOW")))</f>
        <v/>
      </c>
    </row>
    <row r="861">
      <c r="A861" t="n">
        <v>860</v>
      </c>
      <c r="R861">
        <f>IF(Q861="","",IF(Q861&gt;=60,"HIGH",IF(Q861&gt;=30,"MEDIUM","LOW")))</f>
        <v/>
      </c>
    </row>
    <row r="862">
      <c r="A862" t="n">
        <v>861</v>
      </c>
      <c r="R862">
        <f>IF(Q862="","",IF(Q862&gt;=60,"HIGH",IF(Q862&gt;=30,"MEDIUM","LOW")))</f>
        <v/>
      </c>
    </row>
    <row r="863">
      <c r="A863" t="n">
        <v>862</v>
      </c>
      <c r="R863">
        <f>IF(Q863="","",IF(Q863&gt;=60,"HIGH",IF(Q863&gt;=30,"MEDIUM","LOW")))</f>
        <v/>
      </c>
    </row>
    <row r="864">
      <c r="A864" t="n">
        <v>863</v>
      </c>
      <c r="R864">
        <f>IF(Q864="","",IF(Q864&gt;=60,"HIGH",IF(Q864&gt;=30,"MEDIUM","LOW")))</f>
        <v/>
      </c>
    </row>
    <row r="865">
      <c r="A865" t="n">
        <v>864</v>
      </c>
      <c r="R865">
        <f>IF(Q865="","",IF(Q865&gt;=60,"HIGH",IF(Q865&gt;=30,"MEDIUM","LOW")))</f>
        <v/>
      </c>
    </row>
    <row r="866">
      <c r="A866" t="n">
        <v>865</v>
      </c>
      <c r="R866">
        <f>IF(Q866="","",IF(Q866&gt;=60,"HIGH",IF(Q866&gt;=30,"MEDIUM","LOW")))</f>
        <v/>
      </c>
    </row>
    <row r="867">
      <c r="A867" t="n">
        <v>866</v>
      </c>
      <c r="R867">
        <f>IF(Q867="","",IF(Q867&gt;=60,"HIGH",IF(Q867&gt;=30,"MEDIUM","LOW")))</f>
        <v/>
      </c>
    </row>
    <row r="868">
      <c r="A868" t="n">
        <v>867</v>
      </c>
      <c r="R868">
        <f>IF(Q868="","",IF(Q868&gt;=60,"HIGH",IF(Q868&gt;=30,"MEDIUM","LOW")))</f>
        <v/>
      </c>
    </row>
    <row r="869">
      <c r="A869" t="n">
        <v>868</v>
      </c>
      <c r="R869">
        <f>IF(Q869="","",IF(Q869&gt;=60,"HIGH",IF(Q869&gt;=30,"MEDIUM","LOW")))</f>
        <v/>
      </c>
    </row>
    <row r="870">
      <c r="A870" t="n">
        <v>869</v>
      </c>
      <c r="R870">
        <f>IF(Q870="","",IF(Q870&gt;=60,"HIGH",IF(Q870&gt;=30,"MEDIUM","LOW")))</f>
        <v/>
      </c>
    </row>
    <row r="871">
      <c r="A871" t="n">
        <v>870</v>
      </c>
      <c r="R871">
        <f>IF(Q871="","",IF(Q871&gt;=60,"HIGH",IF(Q871&gt;=30,"MEDIUM","LOW")))</f>
        <v/>
      </c>
    </row>
    <row r="872">
      <c r="A872" t="n">
        <v>871</v>
      </c>
      <c r="R872">
        <f>IF(Q872="","",IF(Q872&gt;=60,"HIGH",IF(Q872&gt;=30,"MEDIUM","LOW")))</f>
        <v/>
      </c>
    </row>
    <row r="873">
      <c r="A873" t="n">
        <v>872</v>
      </c>
      <c r="R873">
        <f>IF(Q873="","",IF(Q873&gt;=60,"HIGH",IF(Q873&gt;=30,"MEDIUM","LOW")))</f>
        <v/>
      </c>
    </row>
    <row r="874">
      <c r="A874" t="n">
        <v>873</v>
      </c>
      <c r="R874">
        <f>IF(Q874="","",IF(Q874&gt;=60,"HIGH",IF(Q874&gt;=30,"MEDIUM","LOW")))</f>
        <v/>
      </c>
    </row>
    <row r="875">
      <c r="A875" t="n">
        <v>874</v>
      </c>
      <c r="R875">
        <f>IF(Q875="","",IF(Q875&gt;=60,"HIGH",IF(Q875&gt;=30,"MEDIUM","LOW")))</f>
        <v/>
      </c>
    </row>
    <row r="876">
      <c r="A876" t="n">
        <v>875</v>
      </c>
      <c r="R876">
        <f>IF(Q876="","",IF(Q876&gt;=60,"HIGH",IF(Q876&gt;=30,"MEDIUM","LOW")))</f>
        <v/>
      </c>
    </row>
    <row r="877">
      <c r="A877" t="n">
        <v>876</v>
      </c>
      <c r="R877">
        <f>IF(Q877="","",IF(Q877&gt;=60,"HIGH",IF(Q877&gt;=30,"MEDIUM","LOW")))</f>
        <v/>
      </c>
    </row>
    <row r="878">
      <c r="A878" t="n">
        <v>877</v>
      </c>
      <c r="R878">
        <f>IF(Q878="","",IF(Q878&gt;=60,"HIGH",IF(Q878&gt;=30,"MEDIUM","LOW")))</f>
        <v/>
      </c>
    </row>
    <row r="879">
      <c r="A879" t="n">
        <v>878</v>
      </c>
      <c r="R879">
        <f>IF(Q879="","",IF(Q879&gt;=60,"HIGH",IF(Q879&gt;=30,"MEDIUM","LOW")))</f>
        <v/>
      </c>
    </row>
    <row r="880">
      <c r="A880" t="n">
        <v>879</v>
      </c>
      <c r="R880">
        <f>IF(Q880="","",IF(Q880&gt;=60,"HIGH",IF(Q880&gt;=30,"MEDIUM","LOW")))</f>
        <v/>
      </c>
    </row>
    <row r="881">
      <c r="A881" t="n">
        <v>880</v>
      </c>
      <c r="R881">
        <f>IF(Q881="","",IF(Q881&gt;=60,"HIGH",IF(Q881&gt;=30,"MEDIUM","LOW")))</f>
        <v/>
      </c>
    </row>
    <row r="882">
      <c r="A882" t="n">
        <v>881</v>
      </c>
      <c r="R882">
        <f>IF(Q882="","",IF(Q882&gt;=60,"HIGH",IF(Q882&gt;=30,"MEDIUM","LOW")))</f>
        <v/>
      </c>
    </row>
    <row r="883">
      <c r="A883" t="n">
        <v>882</v>
      </c>
      <c r="R883">
        <f>IF(Q883="","",IF(Q883&gt;=60,"HIGH",IF(Q883&gt;=30,"MEDIUM","LOW")))</f>
        <v/>
      </c>
    </row>
    <row r="884">
      <c r="A884" t="n">
        <v>883</v>
      </c>
      <c r="R884">
        <f>IF(Q884="","",IF(Q884&gt;=60,"HIGH",IF(Q884&gt;=30,"MEDIUM","LOW")))</f>
        <v/>
      </c>
    </row>
    <row r="885">
      <c r="A885" t="n">
        <v>884</v>
      </c>
      <c r="R885">
        <f>IF(Q885="","",IF(Q885&gt;=60,"HIGH",IF(Q885&gt;=30,"MEDIUM","LOW")))</f>
        <v/>
      </c>
    </row>
    <row r="886">
      <c r="A886" t="n">
        <v>885</v>
      </c>
      <c r="R886">
        <f>IF(Q886="","",IF(Q886&gt;=60,"HIGH",IF(Q886&gt;=30,"MEDIUM","LOW")))</f>
        <v/>
      </c>
    </row>
    <row r="887">
      <c r="A887" t="n">
        <v>886</v>
      </c>
      <c r="R887">
        <f>IF(Q887="","",IF(Q887&gt;=60,"HIGH",IF(Q887&gt;=30,"MEDIUM","LOW")))</f>
        <v/>
      </c>
    </row>
    <row r="888">
      <c r="A888" t="n">
        <v>887</v>
      </c>
      <c r="R888">
        <f>IF(Q888="","",IF(Q888&gt;=60,"HIGH",IF(Q888&gt;=30,"MEDIUM","LOW")))</f>
        <v/>
      </c>
    </row>
    <row r="889">
      <c r="A889" t="n">
        <v>888</v>
      </c>
      <c r="R889">
        <f>IF(Q889="","",IF(Q889&gt;=60,"HIGH",IF(Q889&gt;=30,"MEDIUM","LOW")))</f>
        <v/>
      </c>
    </row>
    <row r="890">
      <c r="A890" t="n">
        <v>889</v>
      </c>
      <c r="R890">
        <f>IF(Q890="","",IF(Q890&gt;=60,"HIGH",IF(Q890&gt;=30,"MEDIUM","LOW")))</f>
        <v/>
      </c>
    </row>
    <row r="891">
      <c r="A891" t="n">
        <v>890</v>
      </c>
      <c r="R891">
        <f>IF(Q891="","",IF(Q891&gt;=60,"HIGH",IF(Q891&gt;=30,"MEDIUM","LOW")))</f>
        <v/>
      </c>
    </row>
    <row r="892">
      <c r="A892" t="n">
        <v>891</v>
      </c>
      <c r="R892">
        <f>IF(Q892="","",IF(Q892&gt;=60,"HIGH",IF(Q892&gt;=30,"MEDIUM","LOW")))</f>
        <v/>
      </c>
    </row>
    <row r="893">
      <c r="A893" t="n">
        <v>892</v>
      </c>
      <c r="R893">
        <f>IF(Q893="","",IF(Q893&gt;=60,"HIGH",IF(Q893&gt;=30,"MEDIUM","LOW")))</f>
        <v/>
      </c>
    </row>
    <row r="894">
      <c r="A894" t="n">
        <v>893</v>
      </c>
      <c r="R894">
        <f>IF(Q894="","",IF(Q894&gt;=60,"HIGH",IF(Q894&gt;=30,"MEDIUM","LOW")))</f>
        <v/>
      </c>
    </row>
    <row r="895">
      <c r="A895" t="n">
        <v>894</v>
      </c>
      <c r="R895">
        <f>IF(Q895="","",IF(Q895&gt;=60,"HIGH",IF(Q895&gt;=30,"MEDIUM","LOW")))</f>
        <v/>
      </c>
    </row>
    <row r="896">
      <c r="A896" t="n">
        <v>895</v>
      </c>
      <c r="R896">
        <f>IF(Q896="","",IF(Q896&gt;=60,"HIGH",IF(Q896&gt;=30,"MEDIUM","LOW")))</f>
        <v/>
      </c>
    </row>
    <row r="897">
      <c r="A897" t="n">
        <v>896</v>
      </c>
      <c r="R897">
        <f>IF(Q897="","",IF(Q897&gt;=60,"HIGH",IF(Q897&gt;=30,"MEDIUM","LOW")))</f>
        <v/>
      </c>
    </row>
    <row r="898">
      <c r="A898" t="n">
        <v>897</v>
      </c>
      <c r="R898">
        <f>IF(Q898="","",IF(Q898&gt;=60,"HIGH",IF(Q898&gt;=30,"MEDIUM","LOW")))</f>
        <v/>
      </c>
    </row>
    <row r="899">
      <c r="A899" t="n">
        <v>898</v>
      </c>
      <c r="R899">
        <f>IF(Q899="","",IF(Q899&gt;=60,"HIGH",IF(Q899&gt;=30,"MEDIUM","LOW")))</f>
        <v/>
      </c>
    </row>
    <row r="900">
      <c r="A900" t="n">
        <v>899</v>
      </c>
      <c r="R900">
        <f>IF(Q900="","",IF(Q900&gt;=60,"HIGH",IF(Q900&gt;=30,"MEDIUM","LOW")))</f>
        <v/>
      </c>
    </row>
    <row r="901">
      <c r="A901" t="n">
        <v>900</v>
      </c>
      <c r="R901">
        <f>IF(Q901="","",IF(Q901&gt;=60,"HIGH",IF(Q901&gt;=30,"MEDIUM","LOW")))</f>
        <v/>
      </c>
    </row>
    <row r="902">
      <c r="A902" t="n">
        <v>901</v>
      </c>
      <c r="R902">
        <f>IF(Q902="","",IF(Q902&gt;=60,"HIGH",IF(Q902&gt;=30,"MEDIUM","LOW")))</f>
        <v/>
      </c>
    </row>
    <row r="903">
      <c r="A903" t="n">
        <v>902</v>
      </c>
      <c r="R903">
        <f>IF(Q903="","",IF(Q903&gt;=60,"HIGH",IF(Q903&gt;=30,"MEDIUM","LOW")))</f>
        <v/>
      </c>
    </row>
    <row r="904">
      <c r="A904" t="n">
        <v>903</v>
      </c>
      <c r="R904">
        <f>IF(Q904="","",IF(Q904&gt;=60,"HIGH",IF(Q904&gt;=30,"MEDIUM","LOW")))</f>
        <v/>
      </c>
    </row>
    <row r="905">
      <c r="A905" t="n">
        <v>904</v>
      </c>
      <c r="R905">
        <f>IF(Q905="","",IF(Q905&gt;=60,"HIGH",IF(Q905&gt;=30,"MEDIUM","LOW")))</f>
        <v/>
      </c>
    </row>
    <row r="906">
      <c r="A906" t="n">
        <v>905</v>
      </c>
      <c r="R906">
        <f>IF(Q906="","",IF(Q906&gt;=60,"HIGH",IF(Q906&gt;=30,"MEDIUM","LOW")))</f>
        <v/>
      </c>
    </row>
    <row r="907">
      <c r="A907" t="n">
        <v>906</v>
      </c>
      <c r="R907">
        <f>IF(Q907="","",IF(Q907&gt;=60,"HIGH",IF(Q907&gt;=30,"MEDIUM","LOW")))</f>
        <v/>
      </c>
    </row>
    <row r="908">
      <c r="A908" t="n">
        <v>907</v>
      </c>
      <c r="R908">
        <f>IF(Q908="","",IF(Q908&gt;=60,"HIGH",IF(Q908&gt;=30,"MEDIUM","LOW")))</f>
        <v/>
      </c>
    </row>
    <row r="909">
      <c r="A909" t="n">
        <v>908</v>
      </c>
      <c r="R909">
        <f>IF(Q909="","",IF(Q909&gt;=60,"HIGH",IF(Q909&gt;=30,"MEDIUM","LOW")))</f>
        <v/>
      </c>
    </row>
    <row r="910">
      <c r="A910" t="n">
        <v>909</v>
      </c>
      <c r="R910">
        <f>IF(Q910="","",IF(Q910&gt;=60,"HIGH",IF(Q910&gt;=30,"MEDIUM","LOW")))</f>
        <v/>
      </c>
    </row>
    <row r="911">
      <c r="A911" t="n">
        <v>910</v>
      </c>
      <c r="R911">
        <f>IF(Q911="","",IF(Q911&gt;=60,"HIGH",IF(Q911&gt;=30,"MEDIUM","LOW")))</f>
        <v/>
      </c>
    </row>
    <row r="912">
      <c r="A912" t="n">
        <v>911</v>
      </c>
      <c r="R912">
        <f>IF(Q912="","",IF(Q912&gt;=60,"HIGH",IF(Q912&gt;=30,"MEDIUM","LOW")))</f>
        <v/>
      </c>
    </row>
    <row r="913">
      <c r="A913" t="n">
        <v>912</v>
      </c>
      <c r="R913">
        <f>IF(Q913="","",IF(Q913&gt;=60,"HIGH",IF(Q913&gt;=30,"MEDIUM","LOW")))</f>
        <v/>
      </c>
    </row>
    <row r="914">
      <c r="A914" t="n">
        <v>913</v>
      </c>
      <c r="R914">
        <f>IF(Q914="","",IF(Q914&gt;=60,"HIGH",IF(Q914&gt;=30,"MEDIUM","LOW")))</f>
        <v/>
      </c>
    </row>
    <row r="915">
      <c r="A915" t="n">
        <v>914</v>
      </c>
      <c r="R915">
        <f>IF(Q915="","",IF(Q915&gt;=60,"HIGH",IF(Q915&gt;=30,"MEDIUM","LOW")))</f>
        <v/>
      </c>
    </row>
    <row r="916">
      <c r="A916" t="n">
        <v>915</v>
      </c>
      <c r="R916">
        <f>IF(Q916="","",IF(Q916&gt;=60,"HIGH",IF(Q916&gt;=30,"MEDIUM","LOW")))</f>
        <v/>
      </c>
    </row>
    <row r="917">
      <c r="A917" t="n">
        <v>916</v>
      </c>
      <c r="R917">
        <f>IF(Q917="","",IF(Q917&gt;=60,"HIGH",IF(Q917&gt;=30,"MEDIUM","LOW")))</f>
        <v/>
      </c>
    </row>
    <row r="918">
      <c r="A918" t="n">
        <v>917</v>
      </c>
      <c r="R918">
        <f>IF(Q918="","",IF(Q918&gt;=60,"HIGH",IF(Q918&gt;=30,"MEDIUM","LOW")))</f>
        <v/>
      </c>
    </row>
    <row r="919">
      <c r="A919" t="n">
        <v>918</v>
      </c>
      <c r="R919">
        <f>IF(Q919="","",IF(Q919&gt;=60,"HIGH",IF(Q919&gt;=30,"MEDIUM","LOW")))</f>
        <v/>
      </c>
    </row>
    <row r="920">
      <c r="A920" t="n">
        <v>919</v>
      </c>
      <c r="R920">
        <f>IF(Q920="","",IF(Q920&gt;=60,"HIGH",IF(Q920&gt;=30,"MEDIUM","LOW")))</f>
        <v/>
      </c>
    </row>
    <row r="921">
      <c r="A921" t="n">
        <v>920</v>
      </c>
      <c r="R921">
        <f>IF(Q921="","",IF(Q921&gt;=60,"HIGH",IF(Q921&gt;=30,"MEDIUM","LOW")))</f>
        <v/>
      </c>
    </row>
    <row r="922">
      <c r="A922" t="n">
        <v>921</v>
      </c>
      <c r="R922">
        <f>IF(Q922="","",IF(Q922&gt;=60,"HIGH",IF(Q922&gt;=30,"MEDIUM","LOW")))</f>
        <v/>
      </c>
    </row>
    <row r="923">
      <c r="A923" t="n">
        <v>922</v>
      </c>
      <c r="R923">
        <f>IF(Q923="","",IF(Q923&gt;=60,"HIGH",IF(Q923&gt;=30,"MEDIUM","LOW")))</f>
        <v/>
      </c>
    </row>
    <row r="924">
      <c r="A924" t="n">
        <v>923</v>
      </c>
      <c r="R924">
        <f>IF(Q924="","",IF(Q924&gt;=60,"HIGH",IF(Q924&gt;=30,"MEDIUM","LOW")))</f>
        <v/>
      </c>
    </row>
    <row r="925">
      <c r="A925" t="n">
        <v>924</v>
      </c>
      <c r="R925">
        <f>IF(Q925="","",IF(Q925&gt;=60,"HIGH",IF(Q925&gt;=30,"MEDIUM","LOW")))</f>
        <v/>
      </c>
    </row>
    <row r="926">
      <c r="A926" t="n">
        <v>925</v>
      </c>
      <c r="R926">
        <f>IF(Q926="","",IF(Q926&gt;=60,"HIGH",IF(Q926&gt;=30,"MEDIUM","LOW")))</f>
        <v/>
      </c>
    </row>
    <row r="927">
      <c r="A927" t="n">
        <v>926</v>
      </c>
      <c r="R927">
        <f>IF(Q927="","",IF(Q927&gt;=60,"HIGH",IF(Q927&gt;=30,"MEDIUM","LOW")))</f>
        <v/>
      </c>
    </row>
    <row r="928">
      <c r="A928" t="n">
        <v>927</v>
      </c>
      <c r="R928">
        <f>IF(Q928="","",IF(Q928&gt;=60,"HIGH",IF(Q928&gt;=30,"MEDIUM","LOW")))</f>
        <v/>
      </c>
    </row>
    <row r="929">
      <c r="A929" t="n">
        <v>928</v>
      </c>
      <c r="R929">
        <f>IF(Q929="","",IF(Q929&gt;=60,"HIGH",IF(Q929&gt;=30,"MEDIUM","LOW")))</f>
        <v/>
      </c>
    </row>
    <row r="930">
      <c r="A930" t="n">
        <v>929</v>
      </c>
      <c r="R930">
        <f>IF(Q930="","",IF(Q930&gt;=60,"HIGH",IF(Q930&gt;=30,"MEDIUM","LOW")))</f>
        <v/>
      </c>
    </row>
    <row r="931">
      <c r="A931" t="n">
        <v>930</v>
      </c>
      <c r="R931">
        <f>IF(Q931="","",IF(Q931&gt;=60,"HIGH",IF(Q931&gt;=30,"MEDIUM","LOW")))</f>
        <v/>
      </c>
    </row>
    <row r="932">
      <c r="A932" t="n">
        <v>931</v>
      </c>
      <c r="R932">
        <f>IF(Q932="","",IF(Q932&gt;=60,"HIGH",IF(Q932&gt;=30,"MEDIUM","LOW")))</f>
        <v/>
      </c>
    </row>
    <row r="933">
      <c r="A933" t="n">
        <v>932</v>
      </c>
      <c r="R933">
        <f>IF(Q933="","",IF(Q933&gt;=60,"HIGH",IF(Q933&gt;=30,"MEDIUM","LOW")))</f>
        <v/>
      </c>
    </row>
    <row r="934">
      <c r="A934" t="n">
        <v>933</v>
      </c>
      <c r="R934">
        <f>IF(Q934="","",IF(Q934&gt;=60,"HIGH",IF(Q934&gt;=30,"MEDIUM","LOW")))</f>
        <v/>
      </c>
    </row>
    <row r="935">
      <c r="A935" t="n">
        <v>934</v>
      </c>
      <c r="R935">
        <f>IF(Q935="","",IF(Q935&gt;=60,"HIGH",IF(Q935&gt;=30,"MEDIUM","LOW")))</f>
        <v/>
      </c>
    </row>
    <row r="936">
      <c r="A936" t="n">
        <v>935</v>
      </c>
      <c r="R936">
        <f>IF(Q936="","",IF(Q936&gt;=60,"HIGH",IF(Q936&gt;=30,"MEDIUM","LOW")))</f>
        <v/>
      </c>
    </row>
    <row r="937">
      <c r="A937" t="n">
        <v>936</v>
      </c>
      <c r="R937">
        <f>IF(Q937="","",IF(Q937&gt;=60,"HIGH",IF(Q937&gt;=30,"MEDIUM","LOW")))</f>
        <v/>
      </c>
    </row>
    <row r="938">
      <c r="A938" t="n">
        <v>937</v>
      </c>
      <c r="R938">
        <f>IF(Q938="","",IF(Q938&gt;=60,"HIGH",IF(Q938&gt;=30,"MEDIUM","LOW")))</f>
        <v/>
      </c>
    </row>
    <row r="939">
      <c r="A939" t="n">
        <v>938</v>
      </c>
      <c r="R939">
        <f>IF(Q939="","",IF(Q939&gt;=60,"HIGH",IF(Q939&gt;=30,"MEDIUM","LOW")))</f>
        <v/>
      </c>
    </row>
    <row r="940">
      <c r="A940" t="n">
        <v>939</v>
      </c>
      <c r="R940">
        <f>IF(Q940="","",IF(Q940&gt;=60,"HIGH",IF(Q940&gt;=30,"MEDIUM","LOW")))</f>
        <v/>
      </c>
    </row>
    <row r="941">
      <c r="A941" t="n">
        <v>940</v>
      </c>
      <c r="R941">
        <f>IF(Q941="","",IF(Q941&gt;=60,"HIGH",IF(Q941&gt;=30,"MEDIUM","LOW")))</f>
        <v/>
      </c>
    </row>
    <row r="942">
      <c r="A942" t="n">
        <v>941</v>
      </c>
      <c r="R942">
        <f>IF(Q942="","",IF(Q942&gt;=60,"HIGH",IF(Q942&gt;=30,"MEDIUM","LOW")))</f>
        <v/>
      </c>
    </row>
    <row r="943">
      <c r="A943" t="n">
        <v>942</v>
      </c>
      <c r="R943">
        <f>IF(Q943="","",IF(Q943&gt;=60,"HIGH",IF(Q943&gt;=30,"MEDIUM","LOW")))</f>
        <v/>
      </c>
    </row>
    <row r="944">
      <c r="A944" t="n">
        <v>943</v>
      </c>
      <c r="R944">
        <f>IF(Q944="","",IF(Q944&gt;=60,"HIGH",IF(Q944&gt;=30,"MEDIUM","LOW")))</f>
        <v/>
      </c>
    </row>
    <row r="945">
      <c r="A945" t="n">
        <v>944</v>
      </c>
      <c r="R945">
        <f>IF(Q945="","",IF(Q945&gt;=60,"HIGH",IF(Q945&gt;=30,"MEDIUM","LOW")))</f>
        <v/>
      </c>
    </row>
    <row r="946">
      <c r="A946" t="n">
        <v>945</v>
      </c>
      <c r="R946">
        <f>IF(Q946="","",IF(Q946&gt;=60,"HIGH",IF(Q946&gt;=30,"MEDIUM","LOW")))</f>
        <v/>
      </c>
    </row>
    <row r="947">
      <c r="A947" t="n">
        <v>946</v>
      </c>
      <c r="R947">
        <f>IF(Q947="","",IF(Q947&gt;=60,"HIGH",IF(Q947&gt;=30,"MEDIUM","LOW")))</f>
        <v/>
      </c>
    </row>
    <row r="948">
      <c r="A948" t="n">
        <v>947</v>
      </c>
      <c r="R948">
        <f>IF(Q948="","",IF(Q948&gt;=60,"HIGH",IF(Q948&gt;=30,"MEDIUM","LOW")))</f>
        <v/>
      </c>
    </row>
    <row r="949">
      <c r="A949" t="n">
        <v>948</v>
      </c>
      <c r="R949">
        <f>IF(Q949="","",IF(Q949&gt;=60,"HIGH",IF(Q949&gt;=30,"MEDIUM","LOW")))</f>
        <v/>
      </c>
    </row>
    <row r="950">
      <c r="A950" t="n">
        <v>949</v>
      </c>
      <c r="R950">
        <f>IF(Q950="","",IF(Q950&gt;=60,"HIGH",IF(Q950&gt;=30,"MEDIUM","LOW")))</f>
        <v/>
      </c>
    </row>
    <row r="951">
      <c r="A951" t="n">
        <v>950</v>
      </c>
      <c r="R951">
        <f>IF(Q951="","",IF(Q951&gt;=60,"HIGH",IF(Q951&gt;=30,"MEDIUM","LOW")))</f>
        <v/>
      </c>
    </row>
    <row r="952">
      <c r="A952" t="n">
        <v>951</v>
      </c>
      <c r="R952">
        <f>IF(Q952="","",IF(Q952&gt;=60,"HIGH",IF(Q952&gt;=30,"MEDIUM","LOW")))</f>
        <v/>
      </c>
    </row>
    <row r="953">
      <c r="A953" t="n">
        <v>952</v>
      </c>
      <c r="R953">
        <f>IF(Q953="","",IF(Q953&gt;=60,"HIGH",IF(Q953&gt;=30,"MEDIUM","LOW")))</f>
        <v/>
      </c>
    </row>
    <row r="954">
      <c r="A954" t="n">
        <v>953</v>
      </c>
      <c r="R954">
        <f>IF(Q954="","",IF(Q954&gt;=60,"HIGH",IF(Q954&gt;=30,"MEDIUM","LOW")))</f>
        <v/>
      </c>
    </row>
    <row r="955">
      <c r="A955" t="n">
        <v>954</v>
      </c>
      <c r="R955">
        <f>IF(Q955="","",IF(Q955&gt;=60,"HIGH",IF(Q955&gt;=30,"MEDIUM","LOW")))</f>
        <v/>
      </c>
    </row>
    <row r="956">
      <c r="A956" t="n">
        <v>955</v>
      </c>
      <c r="R956">
        <f>IF(Q956="","",IF(Q956&gt;=60,"HIGH",IF(Q956&gt;=30,"MEDIUM","LOW")))</f>
        <v/>
      </c>
    </row>
    <row r="957">
      <c r="A957" t="n">
        <v>956</v>
      </c>
      <c r="R957">
        <f>IF(Q957="","",IF(Q957&gt;=60,"HIGH",IF(Q957&gt;=30,"MEDIUM","LOW")))</f>
        <v/>
      </c>
    </row>
    <row r="958">
      <c r="A958" t="n">
        <v>957</v>
      </c>
      <c r="R958">
        <f>IF(Q958="","",IF(Q958&gt;=60,"HIGH",IF(Q958&gt;=30,"MEDIUM","LOW")))</f>
        <v/>
      </c>
    </row>
    <row r="959">
      <c r="A959" t="n">
        <v>958</v>
      </c>
      <c r="R959">
        <f>IF(Q959="","",IF(Q959&gt;=60,"HIGH",IF(Q959&gt;=30,"MEDIUM","LOW")))</f>
        <v/>
      </c>
    </row>
    <row r="960">
      <c r="A960" t="n">
        <v>959</v>
      </c>
      <c r="R960">
        <f>IF(Q960="","",IF(Q960&gt;=60,"HIGH",IF(Q960&gt;=30,"MEDIUM","LOW")))</f>
        <v/>
      </c>
    </row>
    <row r="961">
      <c r="A961" t="n">
        <v>960</v>
      </c>
      <c r="R961">
        <f>IF(Q961="","",IF(Q961&gt;=60,"HIGH",IF(Q961&gt;=30,"MEDIUM","LOW")))</f>
        <v/>
      </c>
    </row>
    <row r="962">
      <c r="A962" t="n">
        <v>961</v>
      </c>
      <c r="R962">
        <f>IF(Q962="","",IF(Q962&gt;=60,"HIGH",IF(Q962&gt;=30,"MEDIUM","LOW")))</f>
        <v/>
      </c>
    </row>
    <row r="963">
      <c r="A963" t="n">
        <v>962</v>
      </c>
      <c r="R963">
        <f>IF(Q963="","",IF(Q963&gt;=60,"HIGH",IF(Q963&gt;=30,"MEDIUM","LOW")))</f>
        <v/>
      </c>
    </row>
    <row r="964">
      <c r="A964" t="n">
        <v>963</v>
      </c>
      <c r="R964">
        <f>IF(Q964="","",IF(Q964&gt;=60,"HIGH",IF(Q964&gt;=30,"MEDIUM","LOW")))</f>
        <v/>
      </c>
    </row>
    <row r="965">
      <c r="A965" t="n">
        <v>964</v>
      </c>
      <c r="R965">
        <f>IF(Q965="","",IF(Q965&gt;=60,"HIGH",IF(Q965&gt;=30,"MEDIUM","LOW")))</f>
        <v/>
      </c>
    </row>
    <row r="966">
      <c r="A966" t="n">
        <v>965</v>
      </c>
      <c r="R966">
        <f>IF(Q966="","",IF(Q966&gt;=60,"HIGH",IF(Q966&gt;=30,"MEDIUM","LOW")))</f>
        <v/>
      </c>
    </row>
    <row r="967">
      <c r="A967" t="n">
        <v>966</v>
      </c>
      <c r="R967">
        <f>IF(Q967="","",IF(Q967&gt;=60,"HIGH",IF(Q967&gt;=30,"MEDIUM","LOW")))</f>
        <v/>
      </c>
    </row>
    <row r="968">
      <c r="A968" t="n">
        <v>967</v>
      </c>
      <c r="R968">
        <f>IF(Q968="","",IF(Q968&gt;=60,"HIGH",IF(Q968&gt;=30,"MEDIUM","LOW")))</f>
        <v/>
      </c>
    </row>
    <row r="969">
      <c r="A969" t="n">
        <v>968</v>
      </c>
      <c r="R969">
        <f>IF(Q969="","",IF(Q969&gt;=60,"HIGH",IF(Q969&gt;=30,"MEDIUM","LOW")))</f>
        <v/>
      </c>
    </row>
    <row r="970">
      <c r="A970" t="n">
        <v>969</v>
      </c>
      <c r="R970">
        <f>IF(Q970="","",IF(Q970&gt;=60,"HIGH",IF(Q970&gt;=30,"MEDIUM","LOW")))</f>
        <v/>
      </c>
    </row>
    <row r="971">
      <c r="A971" t="n">
        <v>970</v>
      </c>
      <c r="R971">
        <f>IF(Q971="","",IF(Q971&gt;=60,"HIGH",IF(Q971&gt;=30,"MEDIUM","LOW")))</f>
        <v/>
      </c>
    </row>
    <row r="972">
      <c r="A972" t="n">
        <v>971</v>
      </c>
      <c r="R972">
        <f>IF(Q972="","",IF(Q972&gt;=60,"HIGH",IF(Q972&gt;=30,"MEDIUM","LOW")))</f>
        <v/>
      </c>
    </row>
    <row r="973">
      <c r="A973" t="n">
        <v>972</v>
      </c>
      <c r="R973">
        <f>IF(Q973="","",IF(Q973&gt;=60,"HIGH",IF(Q973&gt;=30,"MEDIUM","LOW")))</f>
        <v/>
      </c>
    </row>
    <row r="974">
      <c r="A974" t="n">
        <v>973</v>
      </c>
      <c r="R974">
        <f>IF(Q974="","",IF(Q974&gt;=60,"HIGH",IF(Q974&gt;=30,"MEDIUM","LOW")))</f>
        <v/>
      </c>
    </row>
    <row r="975">
      <c r="A975" t="n">
        <v>974</v>
      </c>
      <c r="R975">
        <f>IF(Q975="","",IF(Q975&gt;=60,"HIGH",IF(Q975&gt;=30,"MEDIUM","LOW")))</f>
        <v/>
      </c>
    </row>
    <row r="976">
      <c r="A976" t="n">
        <v>975</v>
      </c>
      <c r="R976">
        <f>IF(Q976="","",IF(Q976&gt;=60,"HIGH",IF(Q976&gt;=30,"MEDIUM","LOW")))</f>
        <v/>
      </c>
    </row>
    <row r="977">
      <c r="A977" t="n">
        <v>976</v>
      </c>
      <c r="R977">
        <f>IF(Q977="","",IF(Q977&gt;=60,"HIGH",IF(Q977&gt;=30,"MEDIUM","LOW")))</f>
        <v/>
      </c>
    </row>
    <row r="978">
      <c r="A978" t="n">
        <v>977</v>
      </c>
      <c r="R978">
        <f>IF(Q978="","",IF(Q978&gt;=60,"HIGH",IF(Q978&gt;=30,"MEDIUM","LOW")))</f>
        <v/>
      </c>
    </row>
    <row r="979">
      <c r="A979" t="n">
        <v>978</v>
      </c>
      <c r="R979">
        <f>IF(Q979="","",IF(Q979&gt;=60,"HIGH",IF(Q979&gt;=30,"MEDIUM","LOW")))</f>
        <v/>
      </c>
    </row>
    <row r="980">
      <c r="A980" t="n">
        <v>979</v>
      </c>
      <c r="R980">
        <f>IF(Q980="","",IF(Q980&gt;=60,"HIGH",IF(Q980&gt;=30,"MEDIUM","LOW")))</f>
        <v/>
      </c>
    </row>
    <row r="981">
      <c r="A981" t="n">
        <v>980</v>
      </c>
      <c r="R981">
        <f>IF(Q981="","",IF(Q981&gt;=60,"HIGH",IF(Q981&gt;=30,"MEDIUM","LOW")))</f>
        <v/>
      </c>
    </row>
    <row r="982">
      <c r="A982" t="n">
        <v>981</v>
      </c>
      <c r="R982">
        <f>IF(Q982="","",IF(Q982&gt;=60,"HIGH",IF(Q982&gt;=30,"MEDIUM","LOW")))</f>
        <v/>
      </c>
    </row>
    <row r="983">
      <c r="A983" t="n">
        <v>982</v>
      </c>
      <c r="R983">
        <f>IF(Q983="","",IF(Q983&gt;=60,"HIGH",IF(Q983&gt;=30,"MEDIUM","LOW")))</f>
        <v/>
      </c>
    </row>
    <row r="984">
      <c r="A984" t="n">
        <v>983</v>
      </c>
      <c r="R984">
        <f>IF(Q984="","",IF(Q984&gt;=60,"HIGH",IF(Q984&gt;=30,"MEDIUM","LOW")))</f>
        <v/>
      </c>
    </row>
    <row r="985">
      <c r="A985" t="n">
        <v>984</v>
      </c>
      <c r="R985">
        <f>IF(Q985="","",IF(Q985&gt;=60,"HIGH",IF(Q985&gt;=30,"MEDIUM","LOW")))</f>
        <v/>
      </c>
    </row>
    <row r="986">
      <c r="A986" t="n">
        <v>985</v>
      </c>
      <c r="R986">
        <f>IF(Q986="","",IF(Q986&gt;=60,"HIGH",IF(Q986&gt;=30,"MEDIUM","LOW")))</f>
        <v/>
      </c>
    </row>
    <row r="987">
      <c r="A987" t="n">
        <v>986</v>
      </c>
      <c r="R987">
        <f>IF(Q987="","",IF(Q987&gt;=60,"HIGH",IF(Q987&gt;=30,"MEDIUM","LOW")))</f>
        <v/>
      </c>
    </row>
    <row r="988">
      <c r="A988" t="n">
        <v>987</v>
      </c>
      <c r="R988">
        <f>IF(Q988="","",IF(Q988&gt;=60,"HIGH",IF(Q988&gt;=30,"MEDIUM","LOW")))</f>
        <v/>
      </c>
    </row>
    <row r="989">
      <c r="A989" t="n">
        <v>988</v>
      </c>
      <c r="R989">
        <f>IF(Q989="","",IF(Q989&gt;=60,"HIGH",IF(Q989&gt;=30,"MEDIUM","LOW")))</f>
        <v/>
      </c>
    </row>
    <row r="990">
      <c r="A990" t="n">
        <v>989</v>
      </c>
      <c r="R990">
        <f>IF(Q990="","",IF(Q990&gt;=60,"HIGH",IF(Q990&gt;=30,"MEDIUM","LOW")))</f>
        <v/>
      </c>
    </row>
    <row r="991">
      <c r="A991" t="n">
        <v>990</v>
      </c>
      <c r="R991">
        <f>IF(Q991="","",IF(Q991&gt;=60,"HIGH",IF(Q991&gt;=30,"MEDIUM","LOW")))</f>
        <v/>
      </c>
    </row>
    <row r="992">
      <c r="A992" t="n">
        <v>991</v>
      </c>
      <c r="R992">
        <f>IF(Q992="","",IF(Q992&gt;=60,"HIGH",IF(Q992&gt;=30,"MEDIUM","LOW")))</f>
        <v/>
      </c>
    </row>
    <row r="993">
      <c r="A993" t="n">
        <v>992</v>
      </c>
      <c r="R993">
        <f>IF(Q993="","",IF(Q993&gt;=60,"HIGH",IF(Q993&gt;=30,"MEDIUM","LOW")))</f>
        <v/>
      </c>
    </row>
    <row r="994">
      <c r="A994" t="n">
        <v>993</v>
      </c>
      <c r="R994">
        <f>IF(Q994="","",IF(Q994&gt;=60,"HIGH",IF(Q994&gt;=30,"MEDIUM","LOW")))</f>
        <v/>
      </c>
    </row>
    <row r="995">
      <c r="A995" t="n">
        <v>994</v>
      </c>
      <c r="R995">
        <f>IF(Q995="","",IF(Q995&gt;=60,"HIGH",IF(Q995&gt;=30,"MEDIUM","LOW")))</f>
        <v/>
      </c>
    </row>
    <row r="996">
      <c r="A996" t="n">
        <v>995</v>
      </c>
      <c r="R996">
        <f>IF(Q996="","",IF(Q996&gt;=60,"HIGH",IF(Q996&gt;=30,"MEDIUM","LOW")))</f>
        <v/>
      </c>
    </row>
    <row r="997">
      <c r="A997" t="n">
        <v>996</v>
      </c>
      <c r="R997">
        <f>IF(Q997="","",IF(Q997&gt;=60,"HIGH",IF(Q997&gt;=30,"MEDIUM","LOW")))</f>
        <v/>
      </c>
    </row>
    <row r="998">
      <c r="A998" t="n">
        <v>997</v>
      </c>
      <c r="R998">
        <f>IF(Q998="","",IF(Q998&gt;=60,"HIGH",IF(Q998&gt;=30,"MEDIUM","LOW")))</f>
        <v/>
      </c>
    </row>
    <row r="999">
      <c r="A999" t="n">
        <v>998</v>
      </c>
      <c r="R999">
        <f>IF(Q999="","",IF(Q999&gt;=60,"HIGH",IF(Q999&gt;=30,"MEDIUM","LOW")))</f>
        <v/>
      </c>
    </row>
    <row r="1000">
      <c r="A1000" t="n">
        <v>999</v>
      </c>
      <c r="R1000">
        <f>IF(Q1000="","",IF(Q1000&gt;=60,"HIGH",IF(Q1000&gt;=30,"MEDIUM","LOW")))</f>
        <v/>
      </c>
    </row>
    <row r="1001">
      <c r="A1001" t="n">
        <v>1000</v>
      </c>
      <c r="R1001">
        <f>IF(Q1001="","",IF(Q1001&gt;=60,"HIGH",IF(Q1001&gt;=30,"MEDIUM","LOW")))</f>
        <v/>
      </c>
    </row>
    <row r="1002">
      <c r="A1002" t="n">
        <v>1001</v>
      </c>
      <c r="R1002">
        <f>IF(Q1002="","",IF(Q1002&gt;=60,"HIGH",IF(Q1002&gt;=30,"MEDIUM","LOW")))</f>
        <v/>
      </c>
    </row>
    <row r="1003">
      <c r="A1003" t="n">
        <v>1002</v>
      </c>
      <c r="R1003">
        <f>IF(Q1003="","",IF(Q1003&gt;=60,"HIGH",IF(Q1003&gt;=30,"MEDIUM","LOW")))</f>
        <v/>
      </c>
    </row>
    <row r="1004">
      <c r="A1004" t="n">
        <v>1003</v>
      </c>
      <c r="R1004">
        <f>IF(Q1004="","",IF(Q1004&gt;=60,"HIGH",IF(Q1004&gt;=30,"MEDIUM","LOW")))</f>
        <v/>
      </c>
    </row>
    <row r="1005">
      <c r="A1005" t="n">
        <v>1004</v>
      </c>
      <c r="R1005">
        <f>IF(Q1005="","",IF(Q1005&gt;=60,"HIGH",IF(Q1005&gt;=30,"MEDIUM","LOW")))</f>
        <v/>
      </c>
    </row>
    <row r="1006">
      <c r="A1006" t="n">
        <v>1005</v>
      </c>
      <c r="R1006">
        <f>IF(Q1006="","",IF(Q1006&gt;=60,"HIGH",IF(Q1006&gt;=30,"MEDIUM","LOW")))</f>
        <v/>
      </c>
    </row>
    <row r="1007">
      <c r="A1007" t="n">
        <v>1006</v>
      </c>
      <c r="R1007">
        <f>IF(Q1007="","",IF(Q1007&gt;=60,"HIGH",IF(Q1007&gt;=30,"MEDIUM","LOW")))</f>
        <v/>
      </c>
    </row>
    <row r="1008">
      <c r="A1008" t="n">
        <v>1007</v>
      </c>
      <c r="R1008">
        <f>IF(Q1008="","",IF(Q1008&gt;=60,"HIGH",IF(Q1008&gt;=30,"MEDIUM","LOW")))</f>
        <v/>
      </c>
    </row>
    <row r="1009">
      <c r="A1009" t="n">
        <v>1008</v>
      </c>
      <c r="R1009">
        <f>IF(Q1009="","",IF(Q1009&gt;=60,"HIGH",IF(Q1009&gt;=30,"MEDIUM","LOW")))</f>
        <v/>
      </c>
    </row>
    <row r="1010">
      <c r="A1010" t="n">
        <v>1009</v>
      </c>
      <c r="R1010">
        <f>IF(Q1010="","",IF(Q1010&gt;=60,"HIGH",IF(Q1010&gt;=30,"MEDIUM","LOW")))</f>
        <v/>
      </c>
    </row>
    <row r="1011">
      <c r="A1011" t="n">
        <v>1010</v>
      </c>
      <c r="R1011">
        <f>IF(Q1011="","",IF(Q1011&gt;=60,"HIGH",IF(Q1011&gt;=30,"MEDIUM","LOW")))</f>
        <v/>
      </c>
    </row>
    <row r="1012">
      <c r="A1012" t="n">
        <v>1011</v>
      </c>
      <c r="R1012">
        <f>IF(Q1012="","",IF(Q1012&gt;=60,"HIGH",IF(Q1012&gt;=30,"MEDIUM","LOW")))</f>
        <v/>
      </c>
    </row>
    <row r="1013">
      <c r="A1013" t="n">
        <v>1012</v>
      </c>
      <c r="R1013">
        <f>IF(Q1013="","",IF(Q1013&gt;=60,"HIGH",IF(Q1013&gt;=30,"MEDIUM","LOW")))</f>
        <v/>
      </c>
    </row>
    <row r="1014">
      <c r="A1014" t="n">
        <v>1013</v>
      </c>
      <c r="R1014">
        <f>IF(Q1014="","",IF(Q1014&gt;=60,"HIGH",IF(Q1014&gt;=30,"MEDIUM","LOW")))</f>
        <v/>
      </c>
    </row>
    <row r="1015">
      <c r="A1015" t="n">
        <v>1014</v>
      </c>
      <c r="R1015">
        <f>IF(Q1015="","",IF(Q1015&gt;=60,"HIGH",IF(Q1015&gt;=30,"MEDIUM","LOW")))</f>
        <v/>
      </c>
    </row>
    <row r="1016">
      <c r="A1016" t="n">
        <v>1015</v>
      </c>
      <c r="R1016">
        <f>IF(Q1016="","",IF(Q1016&gt;=60,"HIGH",IF(Q1016&gt;=30,"MEDIUM","LOW")))</f>
        <v/>
      </c>
    </row>
    <row r="1017">
      <c r="A1017" t="n">
        <v>1016</v>
      </c>
      <c r="R1017">
        <f>IF(Q1017="","",IF(Q1017&gt;=60,"HIGH",IF(Q1017&gt;=30,"MEDIUM","LOW")))</f>
        <v/>
      </c>
    </row>
    <row r="1018">
      <c r="A1018" t="n">
        <v>1017</v>
      </c>
      <c r="R1018">
        <f>IF(Q1018="","",IF(Q1018&gt;=60,"HIGH",IF(Q1018&gt;=30,"MEDIUM","LOW")))</f>
        <v/>
      </c>
    </row>
    <row r="1019">
      <c r="A1019" t="n">
        <v>1018</v>
      </c>
      <c r="R1019">
        <f>IF(Q1019="","",IF(Q1019&gt;=60,"HIGH",IF(Q1019&gt;=30,"MEDIUM","LOW")))</f>
        <v/>
      </c>
    </row>
    <row r="1020">
      <c r="A1020" t="n">
        <v>1019</v>
      </c>
      <c r="R1020">
        <f>IF(Q1020="","",IF(Q1020&gt;=60,"HIGH",IF(Q1020&gt;=30,"MEDIUM","LOW")))</f>
        <v/>
      </c>
    </row>
    <row r="1021">
      <c r="A1021" t="n">
        <v>1020</v>
      </c>
      <c r="R1021">
        <f>IF(Q1021="","",IF(Q1021&gt;=60,"HIGH",IF(Q1021&gt;=30,"MEDIUM","LOW")))</f>
        <v/>
      </c>
    </row>
    <row r="1022">
      <c r="A1022" t="n">
        <v>1021</v>
      </c>
      <c r="R1022">
        <f>IF(Q1022="","",IF(Q1022&gt;=60,"HIGH",IF(Q1022&gt;=30,"MEDIUM","LOW")))</f>
        <v/>
      </c>
    </row>
    <row r="1023">
      <c r="A1023" t="n">
        <v>1022</v>
      </c>
      <c r="R1023">
        <f>IF(Q1023="","",IF(Q1023&gt;=60,"HIGH",IF(Q1023&gt;=30,"MEDIUM","LOW")))</f>
        <v/>
      </c>
    </row>
    <row r="1024">
      <c r="A1024" t="n">
        <v>1023</v>
      </c>
      <c r="R1024">
        <f>IF(Q1024="","",IF(Q1024&gt;=60,"HIGH",IF(Q1024&gt;=30,"MEDIUM","LOW")))</f>
        <v/>
      </c>
    </row>
    <row r="1025">
      <c r="A1025" t="n">
        <v>1024</v>
      </c>
      <c r="R1025">
        <f>IF(Q1025="","",IF(Q1025&gt;=60,"HIGH",IF(Q1025&gt;=30,"MEDIUM","LOW")))</f>
        <v/>
      </c>
    </row>
    <row r="1026">
      <c r="A1026" t="n">
        <v>1025</v>
      </c>
      <c r="R1026">
        <f>IF(Q1026="","",IF(Q1026&gt;=60,"HIGH",IF(Q1026&gt;=30,"MEDIUM","LOW")))</f>
        <v/>
      </c>
    </row>
    <row r="1027">
      <c r="A1027" t="n">
        <v>1026</v>
      </c>
      <c r="R1027">
        <f>IF(Q1027="","",IF(Q1027&gt;=60,"HIGH",IF(Q1027&gt;=30,"MEDIUM","LOW")))</f>
        <v/>
      </c>
    </row>
    <row r="1028">
      <c r="A1028" t="n">
        <v>1027</v>
      </c>
      <c r="R1028">
        <f>IF(Q1028="","",IF(Q1028&gt;=60,"HIGH",IF(Q1028&gt;=30,"MEDIUM","LOW")))</f>
        <v/>
      </c>
    </row>
    <row r="1029">
      <c r="A1029" t="n">
        <v>1028</v>
      </c>
      <c r="R1029">
        <f>IF(Q1029="","",IF(Q1029&gt;=60,"HIGH",IF(Q1029&gt;=30,"MEDIUM","LOW")))</f>
        <v/>
      </c>
    </row>
    <row r="1030">
      <c r="A1030" t="n">
        <v>1029</v>
      </c>
      <c r="R1030">
        <f>IF(Q1030="","",IF(Q1030&gt;=60,"HIGH",IF(Q1030&gt;=30,"MEDIUM","LOW")))</f>
        <v/>
      </c>
    </row>
    <row r="1031">
      <c r="A1031" t="n">
        <v>1030</v>
      </c>
      <c r="R1031">
        <f>IF(Q1031="","",IF(Q1031&gt;=60,"HIGH",IF(Q1031&gt;=30,"MEDIUM","LOW")))</f>
        <v/>
      </c>
    </row>
    <row r="1032">
      <c r="A1032" t="n">
        <v>1031</v>
      </c>
      <c r="R1032">
        <f>IF(Q1032="","",IF(Q1032&gt;=60,"HIGH",IF(Q1032&gt;=30,"MEDIUM","LOW")))</f>
        <v/>
      </c>
    </row>
    <row r="1033">
      <c r="A1033" t="n">
        <v>1032</v>
      </c>
      <c r="R1033">
        <f>IF(Q1033="","",IF(Q1033&gt;=60,"HIGH",IF(Q1033&gt;=30,"MEDIUM","LOW")))</f>
        <v/>
      </c>
    </row>
    <row r="1034">
      <c r="A1034" t="n">
        <v>1033</v>
      </c>
      <c r="R1034">
        <f>IF(Q1034="","",IF(Q1034&gt;=60,"HIGH",IF(Q1034&gt;=30,"MEDIUM","LOW")))</f>
        <v/>
      </c>
    </row>
    <row r="1035">
      <c r="A1035" t="n">
        <v>1034</v>
      </c>
      <c r="R1035">
        <f>IF(Q1035="","",IF(Q1035&gt;=60,"HIGH",IF(Q1035&gt;=30,"MEDIUM","LOW")))</f>
        <v/>
      </c>
    </row>
    <row r="1036">
      <c r="A1036" t="n">
        <v>1035</v>
      </c>
      <c r="R1036">
        <f>IF(Q1036="","",IF(Q1036&gt;=60,"HIGH",IF(Q1036&gt;=30,"MEDIUM","LOW")))</f>
        <v/>
      </c>
    </row>
    <row r="1037">
      <c r="A1037" t="n">
        <v>1036</v>
      </c>
      <c r="R1037">
        <f>IF(Q1037="","",IF(Q1037&gt;=60,"HIGH",IF(Q1037&gt;=30,"MEDIUM","LOW")))</f>
        <v/>
      </c>
    </row>
    <row r="1038">
      <c r="A1038" t="n">
        <v>1037</v>
      </c>
      <c r="R1038">
        <f>IF(Q1038="","",IF(Q1038&gt;=60,"HIGH",IF(Q1038&gt;=30,"MEDIUM","LOW")))</f>
        <v/>
      </c>
    </row>
    <row r="1039">
      <c r="A1039" t="n">
        <v>1038</v>
      </c>
      <c r="R1039">
        <f>IF(Q1039="","",IF(Q1039&gt;=60,"HIGH",IF(Q1039&gt;=30,"MEDIUM","LOW")))</f>
        <v/>
      </c>
    </row>
    <row r="1040">
      <c r="A1040" t="n">
        <v>1039</v>
      </c>
      <c r="R1040">
        <f>IF(Q1040="","",IF(Q1040&gt;=60,"HIGH",IF(Q1040&gt;=30,"MEDIUM","LOW")))</f>
        <v/>
      </c>
    </row>
    <row r="1041">
      <c r="A1041" t="n">
        <v>1040</v>
      </c>
      <c r="R1041">
        <f>IF(Q1041="","",IF(Q1041&gt;=60,"HIGH",IF(Q1041&gt;=30,"MEDIUM","LOW")))</f>
        <v/>
      </c>
    </row>
    <row r="1042">
      <c r="A1042" t="n">
        <v>1041</v>
      </c>
      <c r="R1042">
        <f>IF(Q1042="","",IF(Q1042&gt;=60,"HIGH",IF(Q1042&gt;=30,"MEDIUM","LOW")))</f>
        <v/>
      </c>
    </row>
    <row r="1043">
      <c r="A1043" t="n">
        <v>1042</v>
      </c>
      <c r="R1043">
        <f>IF(Q1043="","",IF(Q1043&gt;=60,"HIGH",IF(Q1043&gt;=30,"MEDIUM","LOW")))</f>
        <v/>
      </c>
    </row>
    <row r="1044">
      <c r="A1044" t="n">
        <v>1043</v>
      </c>
      <c r="R1044">
        <f>IF(Q1044="","",IF(Q1044&gt;=60,"HIGH",IF(Q1044&gt;=30,"MEDIUM","LOW")))</f>
        <v/>
      </c>
    </row>
    <row r="1045">
      <c r="A1045" t="n">
        <v>1044</v>
      </c>
      <c r="R1045">
        <f>IF(Q1045="","",IF(Q1045&gt;=60,"HIGH",IF(Q1045&gt;=30,"MEDIUM","LOW")))</f>
        <v/>
      </c>
    </row>
    <row r="1046">
      <c r="A1046" t="n">
        <v>1045</v>
      </c>
      <c r="R1046">
        <f>IF(Q1046="","",IF(Q1046&gt;=60,"HIGH",IF(Q1046&gt;=30,"MEDIUM","LOW")))</f>
        <v/>
      </c>
    </row>
    <row r="1047">
      <c r="A1047" t="n">
        <v>1046</v>
      </c>
      <c r="R1047">
        <f>IF(Q1047="","",IF(Q1047&gt;=60,"HIGH",IF(Q1047&gt;=30,"MEDIUM","LOW")))</f>
        <v/>
      </c>
    </row>
    <row r="1048">
      <c r="A1048" t="n">
        <v>1047</v>
      </c>
      <c r="R1048">
        <f>IF(Q1048="","",IF(Q1048&gt;=60,"HIGH",IF(Q1048&gt;=30,"MEDIUM","LOW")))</f>
        <v/>
      </c>
    </row>
    <row r="1049">
      <c r="A1049" t="n">
        <v>1048</v>
      </c>
      <c r="R1049">
        <f>IF(Q1049="","",IF(Q1049&gt;=60,"HIGH",IF(Q1049&gt;=30,"MEDIUM","LOW")))</f>
        <v/>
      </c>
    </row>
    <row r="1050">
      <c r="A1050" t="n">
        <v>1049</v>
      </c>
      <c r="R1050">
        <f>IF(Q1050="","",IF(Q1050&gt;=60,"HIGH",IF(Q1050&gt;=30,"MEDIUM","LOW")))</f>
        <v/>
      </c>
    </row>
    <row r="1051">
      <c r="A1051" t="n">
        <v>1050</v>
      </c>
      <c r="R1051">
        <f>IF(Q1051="","",IF(Q1051&gt;=60,"HIGH",IF(Q1051&gt;=30,"MEDIUM","LOW")))</f>
        <v/>
      </c>
    </row>
    <row r="1052">
      <c r="A1052" t="n">
        <v>1051</v>
      </c>
      <c r="R1052">
        <f>IF(Q1052="","",IF(Q1052&gt;=60,"HIGH",IF(Q1052&gt;=30,"MEDIUM","LOW")))</f>
        <v/>
      </c>
    </row>
    <row r="1053">
      <c r="A1053" t="n">
        <v>1052</v>
      </c>
      <c r="R1053">
        <f>IF(Q1053="","",IF(Q1053&gt;=60,"HIGH",IF(Q1053&gt;=30,"MEDIUM","LOW")))</f>
        <v/>
      </c>
    </row>
    <row r="1054">
      <c r="A1054" t="n">
        <v>1053</v>
      </c>
      <c r="R1054">
        <f>IF(Q1054="","",IF(Q1054&gt;=60,"HIGH",IF(Q1054&gt;=30,"MEDIUM","LOW")))</f>
        <v/>
      </c>
    </row>
    <row r="1055">
      <c r="A1055" t="n">
        <v>1054</v>
      </c>
      <c r="R1055">
        <f>IF(Q1055="","",IF(Q1055&gt;=60,"HIGH",IF(Q1055&gt;=30,"MEDIUM","LOW")))</f>
        <v/>
      </c>
    </row>
    <row r="1056">
      <c r="A1056" t="n">
        <v>1055</v>
      </c>
      <c r="R1056">
        <f>IF(Q1056="","",IF(Q1056&gt;=60,"HIGH",IF(Q1056&gt;=30,"MEDIUM","LOW")))</f>
        <v/>
      </c>
    </row>
    <row r="1057">
      <c r="A1057" t="n">
        <v>1056</v>
      </c>
      <c r="R1057">
        <f>IF(Q1057="","",IF(Q1057&gt;=60,"HIGH",IF(Q1057&gt;=30,"MEDIUM","LOW")))</f>
        <v/>
      </c>
    </row>
    <row r="1058">
      <c r="A1058" t="n">
        <v>1057</v>
      </c>
      <c r="R1058">
        <f>IF(Q1058="","",IF(Q1058&gt;=60,"HIGH",IF(Q1058&gt;=30,"MEDIUM","LOW")))</f>
        <v/>
      </c>
    </row>
    <row r="1059">
      <c r="A1059" t="n">
        <v>1058</v>
      </c>
      <c r="R1059">
        <f>IF(Q1059="","",IF(Q1059&gt;=60,"HIGH",IF(Q1059&gt;=30,"MEDIUM","LOW")))</f>
        <v/>
      </c>
    </row>
    <row r="1060">
      <c r="A1060" t="n">
        <v>1059</v>
      </c>
      <c r="R1060">
        <f>IF(Q1060="","",IF(Q1060&gt;=60,"HIGH",IF(Q1060&gt;=30,"MEDIUM","LOW")))</f>
        <v/>
      </c>
    </row>
    <row r="1061">
      <c r="A1061" t="n">
        <v>1060</v>
      </c>
      <c r="R1061">
        <f>IF(Q1061="","",IF(Q1061&gt;=60,"HIGH",IF(Q1061&gt;=30,"MEDIUM","LOW")))</f>
        <v/>
      </c>
    </row>
    <row r="1062">
      <c r="A1062" t="n">
        <v>1061</v>
      </c>
      <c r="R1062">
        <f>IF(Q1062="","",IF(Q1062&gt;=60,"HIGH",IF(Q1062&gt;=30,"MEDIUM","LOW")))</f>
        <v/>
      </c>
    </row>
    <row r="1063">
      <c r="A1063" t="n">
        <v>1062</v>
      </c>
      <c r="R1063">
        <f>IF(Q1063="","",IF(Q1063&gt;=60,"HIGH",IF(Q1063&gt;=30,"MEDIUM","LOW")))</f>
        <v/>
      </c>
    </row>
    <row r="1064">
      <c r="A1064" t="n">
        <v>1063</v>
      </c>
      <c r="R1064">
        <f>IF(Q1064="","",IF(Q1064&gt;=60,"HIGH",IF(Q1064&gt;=30,"MEDIUM","LOW")))</f>
        <v/>
      </c>
    </row>
    <row r="1065">
      <c r="A1065" t="n">
        <v>1064</v>
      </c>
      <c r="R1065">
        <f>IF(Q1065="","",IF(Q1065&gt;=60,"HIGH",IF(Q1065&gt;=30,"MEDIUM","LOW")))</f>
        <v/>
      </c>
    </row>
    <row r="1066">
      <c r="A1066" t="n">
        <v>1065</v>
      </c>
      <c r="R1066">
        <f>IF(Q1066="","",IF(Q1066&gt;=60,"HIGH",IF(Q1066&gt;=30,"MEDIUM","LOW")))</f>
        <v/>
      </c>
    </row>
    <row r="1067">
      <c r="A1067" t="n">
        <v>1066</v>
      </c>
      <c r="R1067">
        <f>IF(Q1067="","",IF(Q1067&gt;=60,"HIGH",IF(Q1067&gt;=30,"MEDIUM","LOW")))</f>
        <v/>
      </c>
    </row>
    <row r="1068">
      <c r="A1068" t="n">
        <v>1067</v>
      </c>
      <c r="R1068">
        <f>IF(Q1068="","",IF(Q1068&gt;=60,"HIGH",IF(Q1068&gt;=30,"MEDIUM","LOW")))</f>
        <v/>
      </c>
    </row>
    <row r="1069">
      <c r="A1069" t="n">
        <v>1068</v>
      </c>
      <c r="R1069">
        <f>IF(Q1069="","",IF(Q1069&gt;=60,"HIGH",IF(Q1069&gt;=30,"MEDIUM","LOW")))</f>
        <v/>
      </c>
    </row>
    <row r="1070">
      <c r="A1070" t="n">
        <v>1069</v>
      </c>
      <c r="R1070">
        <f>IF(Q1070="","",IF(Q1070&gt;=60,"HIGH",IF(Q1070&gt;=30,"MEDIUM","LOW")))</f>
        <v/>
      </c>
    </row>
    <row r="1071">
      <c r="A1071" t="n">
        <v>1070</v>
      </c>
      <c r="R1071">
        <f>IF(Q1071="","",IF(Q1071&gt;=60,"HIGH",IF(Q1071&gt;=30,"MEDIUM","LOW")))</f>
        <v/>
      </c>
    </row>
    <row r="1072">
      <c r="A1072" t="n">
        <v>1071</v>
      </c>
      <c r="R1072">
        <f>IF(Q1072="","",IF(Q1072&gt;=60,"HIGH",IF(Q1072&gt;=30,"MEDIUM","LOW")))</f>
        <v/>
      </c>
    </row>
    <row r="1073">
      <c r="A1073" t="n">
        <v>1072</v>
      </c>
      <c r="R1073">
        <f>IF(Q1073="","",IF(Q1073&gt;=60,"HIGH",IF(Q1073&gt;=30,"MEDIUM","LOW")))</f>
        <v/>
      </c>
    </row>
    <row r="1074">
      <c r="A1074" t="n">
        <v>1073</v>
      </c>
      <c r="R1074">
        <f>IF(Q1074="","",IF(Q1074&gt;=60,"HIGH",IF(Q1074&gt;=30,"MEDIUM","LOW")))</f>
        <v/>
      </c>
    </row>
    <row r="1075">
      <c r="A1075" t="n">
        <v>1074</v>
      </c>
      <c r="R1075">
        <f>IF(Q1075="","",IF(Q1075&gt;=60,"HIGH",IF(Q1075&gt;=30,"MEDIUM","LOW")))</f>
        <v/>
      </c>
    </row>
    <row r="1076">
      <c r="A1076" t="n">
        <v>1075</v>
      </c>
      <c r="R1076">
        <f>IF(Q1076="","",IF(Q1076&gt;=60,"HIGH",IF(Q1076&gt;=30,"MEDIUM","LOW")))</f>
        <v/>
      </c>
    </row>
    <row r="1077">
      <c r="A1077" t="n">
        <v>1076</v>
      </c>
      <c r="R1077">
        <f>IF(Q1077="","",IF(Q1077&gt;=60,"HIGH",IF(Q1077&gt;=30,"MEDIUM","LOW")))</f>
        <v/>
      </c>
    </row>
    <row r="1078">
      <c r="A1078" t="n">
        <v>1077</v>
      </c>
      <c r="R1078">
        <f>IF(Q1078="","",IF(Q1078&gt;=60,"HIGH",IF(Q1078&gt;=30,"MEDIUM","LOW")))</f>
        <v/>
      </c>
    </row>
    <row r="1079">
      <c r="A1079" t="n">
        <v>1078</v>
      </c>
      <c r="R1079">
        <f>IF(Q1079="","",IF(Q1079&gt;=60,"HIGH",IF(Q1079&gt;=30,"MEDIUM","LOW")))</f>
        <v/>
      </c>
    </row>
    <row r="1080">
      <c r="A1080" t="n">
        <v>1079</v>
      </c>
      <c r="R1080">
        <f>IF(Q1080="","",IF(Q1080&gt;=60,"HIGH",IF(Q1080&gt;=30,"MEDIUM","LOW")))</f>
        <v/>
      </c>
    </row>
    <row r="1081">
      <c r="A1081" t="n">
        <v>1080</v>
      </c>
      <c r="R1081">
        <f>IF(Q1081="","",IF(Q1081&gt;=60,"HIGH",IF(Q1081&gt;=30,"MEDIUM","LOW")))</f>
        <v/>
      </c>
    </row>
    <row r="1082">
      <c r="A1082" t="n">
        <v>1081</v>
      </c>
      <c r="R1082">
        <f>IF(Q1082="","",IF(Q1082&gt;=60,"HIGH",IF(Q1082&gt;=30,"MEDIUM","LOW")))</f>
        <v/>
      </c>
    </row>
    <row r="1083">
      <c r="A1083" t="n">
        <v>1082</v>
      </c>
      <c r="R1083">
        <f>IF(Q1083="","",IF(Q1083&gt;=60,"HIGH",IF(Q1083&gt;=30,"MEDIUM","LOW")))</f>
        <v/>
      </c>
    </row>
    <row r="1084">
      <c r="A1084" t="n">
        <v>1083</v>
      </c>
      <c r="R1084">
        <f>IF(Q1084="","",IF(Q1084&gt;=60,"HIGH",IF(Q1084&gt;=30,"MEDIUM","LOW")))</f>
        <v/>
      </c>
    </row>
    <row r="1085">
      <c r="A1085" t="n">
        <v>1084</v>
      </c>
      <c r="R1085">
        <f>IF(Q1085="","",IF(Q1085&gt;=60,"HIGH",IF(Q1085&gt;=30,"MEDIUM","LOW")))</f>
        <v/>
      </c>
    </row>
    <row r="1086">
      <c r="A1086" t="n">
        <v>1085</v>
      </c>
      <c r="R1086">
        <f>IF(Q1086="","",IF(Q1086&gt;=60,"HIGH",IF(Q1086&gt;=30,"MEDIUM","LOW")))</f>
        <v/>
      </c>
    </row>
    <row r="1087">
      <c r="A1087" t="n">
        <v>1086</v>
      </c>
      <c r="R1087">
        <f>IF(Q1087="","",IF(Q1087&gt;=60,"HIGH",IF(Q1087&gt;=30,"MEDIUM","LOW")))</f>
        <v/>
      </c>
    </row>
    <row r="1088">
      <c r="A1088" t="n">
        <v>1087</v>
      </c>
      <c r="R1088">
        <f>IF(Q1088="","",IF(Q1088&gt;=60,"HIGH",IF(Q1088&gt;=30,"MEDIUM","LOW")))</f>
        <v/>
      </c>
    </row>
    <row r="1089">
      <c r="A1089" t="n">
        <v>1088</v>
      </c>
      <c r="R1089">
        <f>IF(Q1089="","",IF(Q1089&gt;=60,"HIGH",IF(Q1089&gt;=30,"MEDIUM","LOW")))</f>
        <v/>
      </c>
    </row>
    <row r="1090">
      <c r="A1090" t="n">
        <v>1089</v>
      </c>
      <c r="R1090">
        <f>IF(Q1090="","",IF(Q1090&gt;=60,"HIGH",IF(Q1090&gt;=30,"MEDIUM","LOW")))</f>
        <v/>
      </c>
    </row>
    <row r="1091">
      <c r="A1091" t="n">
        <v>1090</v>
      </c>
      <c r="R1091">
        <f>IF(Q1091="","",IF(Q1091&gt;=60,"HIGH",IF(Q1091&gt;=30,"MEDIUM","LOW")))</f>
        <v/>
      </c>
    </row>
    <row r="1092">
      <c r="A1092" t="n">
        <v>1091</v>
      </c>
      <c r="R1092">
        <f>IF(Q1092="","",IF(Q1092&gt;=60,"HIGH",IF(Q1092&gt;=30,"MEDIUM","LOW")))</f>
        <v/>
      </c>
    </row>
    <row r="1093">
      <c r="A1093" t="n">
        <v>1092</v>
      </c>
      <c r="R1093">
        <f>IF(Q1093="","",IF(Q1093&gt;=60,"HIGH",IF(Q1093&gt;=30,"MEDIUM","LOW")))</f>
        <v/>
      </c>
    </row>
    <row r="1094">
      <c r="A1094" t="n">
        <v>1093</v>
      </c>
      <c r="R1094">
        <f>IF(Q1094="","",IF(Q1094&gt;=60,"HIGH",IF(Q1094&gt;=30,"MEDIUM","LOW")))</f>
        <v/>
      </c>
    </row>
    <row r="1095">
      <c r="A1095" t="n">
        <v>1094</v>
      </c>
      <c r="R1095">
        <f>IF(Q1095="","",IF(Q1095&gt;=60,"HIGH",IF(Q1095&gt;=30,"MEDIUM","LOW")))</f>
        <v/>
      </c>
    </row>
    <row r="1096">
      <c r="A1096" t="n">
        <v>1095</v>
      </c>
      <c r="R1096">
        <f>IF(Q1096="","",IF(Q1096&gt;=60,"HIGH",IF(Q1096&gt;=30,"MEDIUM","LOW")))</f>
        <v/>
      </c>
    </row>
    <row r="1097">
      <c r="A1097" t="n">
        <v>1096</v>
      </c>
      <c r="R1097">
        <f>IF(Q1097="","",IF(Q1097&gt;=60,"HIGH",IF(Q1097&gt;=30,"MEDIUM","LOW")))</f>
        <v/>
      </c>
    </row>
    <row r="1098">
      <c r="A1098" t="n">
        <v>1097</v>
      </c>
      <c r="R1098">
        <f>IF(Q1098="","",IF(Q1098&gt;=60,"HIGH",IF(Q1098&gt;=30,"MEDIUM","LOW")))</f>
        <v/>
      </c>
    </row>
    <row r="1099">
      <c r="A1099" t="n">
        <v>1098</v>
      </c>
      <c r="R1099">
        <f>IF(Q1099="","",IF(Q1099&gt;=60,"HIGH",IF(Q1099&gt;=30,"MEDIUM","LOW")))</f>
        <v/>
      </c>
    </row>
    <row r="1100">
      <c r="A1100" t="n">
        <v>1099</v>
      </c>
      <c r="R1100">
        <f>IF(Q1100="","",IF(Q1100&gt;=60,"HIGH",IF(Q1100&gt;=30,"MEDIUM","LOW")))</f>
        <v/>
      </c>
    </row>
    <row r="1101">
      <c r="A1101" t="n">
        <v>1100</v>
      </c>
      <c r="R1101">
        <f>IF(Q1101="","",IF(Q1101&gt;=60,"HIGH",IF(Q1101&gt;=30,"MEDIUM","LOW")))</f>
        <v/>
      </c>
    </row>
    <row r="1102">
      <c r="A1102" t="n">
        <v>1101</v>
      </c>
      <c r="R1102">
        <f>IF(Q1102="","",IF(Q1102&gt;=60,"HIGH",IF(Q1102&gt;=30,"MEDIUM","LOW")))</f>
        <v/>
      </c>
    </row>
    <row r="1103">
      <c r="A1103" t="n">
        <v>1102</v>
      </c>
      <c r="R1103">
        <f>IF(Q1103="","",IF(Q1103&gt;=60,"HIGH",IF(Q1103&gt;=30,"MEDIUM","LOW")))</f>
        <v/>
      </c>
    </row>
    <row r="1104">
      <c r="A1104" t="n">
        <v>1103</v>
      </c>
      <c r="R1104">
        <f>IF(Q1104="","",IF(Q1104&gt;=60,"HIGH",IF(Q1104&gt;=30,"MEDIUM","LOW")))</f>
        <v/>
      </c>
    </row>
    <row r="1105">
      <c r="A1105" t="n">
        <v>1104</v>
      </c>
      <c r="R1105">
        <f>IF(Q1105="","",IF(Q1105&gt;=60,"HIGH",IF(Q1105&gt;=30,"MEDIUM","LOW")))</f>
        <v/>
      </c>
    </row>
    <row r="1106">
      <c r="A1106" t="n">
        <v>1105</v>
      </c>
      <c r="R1106">
        <f>IF(Q1106="","",IF(Q1106&gt;=60,"HIGH",IF(Q1106&gt;=30,"MEDIUM","LOW")))</f>
        <v/>
      </c>
    </row>
    <row r="1107">
      <c r="A1107" t="n">
        <v>1106</v>
      </c>
      <c r="R1107">
        <f>IF(Q1107="","",IF(Q1107&gt;=60,"HIGH",IF(Q1107&gt;=30,"MEDIUM","LOW")))</f>
        <v/>
      </c>
    </row>
    <row r="1108">
      <c r="A1108" t="n">
        <v>1107</v>
      </c>
      <c r="R1108">
        <f>IF(Q1108="","",IF(Q1108&gt;=60,"HIGH",IF(Q1108&gt;=30,"MEDIUM","LOW")))</f>
        <v/>
      </c>
    </row>
    <row r="1109">
      <c r="A1109" t="n">
        <v>1108</v>
      </c>
      <c r="R1109">
        <f>IF(Q1109="","",IF(Q1109&gt;=60,"HIGH",IF(Q1109&gt;=30,"MEDIUM","LOW")))</f>
        <v/>
      </c>
    </row>
    <row r="1110">
      <c r="A1110" t="n">
        <v>1109</v>
      </c>
      <c r="R1110">
        <f>IF(Q1110="","",IF(Q1110&gt;=60,"HIGH",IF(Q1110&gt;=30,"MEDIUM","LOW")))</f>
        <v/>
      </c>
    </row>
    <row r="1111">
      <c r="A1111" t="n">
        <v>1110</v>
      </c>
      <c r="R1111">
        <f>IF(Q1111="","",IF(Q1111&gt;=60,"HIGH",IF(Q1111&gt;=30,"MEDIUM","LOW")))</f>
        <v/>
      </c>
    </row>
    <row r="1112">
      <c r="A1112" t="n">
        <v>1111</v>
      </c>
      <c r="R1112">
        <f>IF(Q1112="","",IF(Q1112&gt;=60,"HIGH",IF(Q1112&gt;=30,"MEDIUM","LOW")))</f>
        <v/>
      </c>
    </row>
    <row r="1113">
      <c r="A1113" t="n">
        <v>1112</v>
      </c>
      <c r="R1113">
        <f>IF(Q1113="","",IF(Q1113&gt;=60,"HIGH",IF(Q1113&gt;=30,"MEDIUM","LOW")))</f>
        <v/>
      </c>
    </row>
    <row r="1114">
      <c r="A1114" t="n">
        <v>1113</v>
      </c>
      <c r="R1114">
        <f>IF(Q1114="","",IF(Q1114&gt;=60,"HIGH",IF(Q1114&gt;=30,"MEDIUM","LOW")))</f>
        <v/>
      </c>
    </row>
    <row r="1115">
      <c r="A1115" t="n">
        <v>1114</v>
      </c>
      <c r="R1115">
        <f>IF(Q1115="","",IF(Q1115&gt;=60,"HIGH",IF(Q1115&gt;=30,"MEDIUM","LOW")))</f>
        <v/>
      </c>
    </row>
    <row r="1116">
      <c r="A1116" t="n">
        <v>1115</v>
      </c>
      <c r="R1116">
        <f>IF(Q1116="","",IF(Q1116&gt;=60,"HIGH",IF(Q1116&gt;=30,"MEDIUM","LOW")))</f>
        <v/>
      </c>
    </row>
    <row r="1117">
      <c r="A1117" t="n">
        <v>1116</v>
      </c>
      <c r="R1117">
        <f>IF(Q1117="","",IF(Q1117&gt;=60,"HIGH",IF(Q1117&gt;=30,"MEDIUM","LOW")))</f>
        <v/>
      </c>
    </row>
    <row r="1118">
      <c r="A1118" t="n">
        <v>1117</v>
      </c>
      <c r="R1118">
        <f>IF(Q1118="","",IF(Q1118&gt;=60,"HIGH",IF(Q1118&gt;=30,"MEDIUM","LOW")))</f>
        <v/>
      </c>
    </row>
    <row r="1119">
      <c r="A1119" t="n">
        <v>1118</v>
      </c>
      <c r="R1119">
        <f>IF(Q1119="","",IF(Q1119&gt;=60,"HIGH",IF(Q1119&gt;=30,"MEDIUM","LOW")))</f>
        <v/>
      </c>
    </row>
    <row r="1120">
      <c r="A1120" t="n">
        <v>1119</v>
      </c>
      <c r="R1120">
        <f>IF(Q1120="","",IF(Q1120&gt;=60,"HIGH",IF(Q1120&gt;=30,"MEDIUM","LOW")))</f>
        <v/>
      </c>
    </row>
    <row r="1121">
      <c r="A1121" t="n">
        <v>1120</v>
      </c>
      <c r="R1121">
        <f>IF(Q1121="","",IF(Q1121&gt;=60,"HIGH",IF(Q1121&gt;=30,"MEDIUM","LOW")))</f>
        <v/>
      </c>
    </row>
    <row r="1122">
      <c r="A1122" t="n">
        <v>1121</v>
      </c>
      <c r="R1122">
        <f>IF(Q1122="","",IF(Q1122&gt;=60,"HIGH",IF(Q1122&gt;=30,"MEDIUM","LOW")))</f>
        <v/>
      </c>
    </row>
    <row r="1123">
      <c r="A1123" t="n">
        <v>1122</v>
      </c>
      <c r="R1123">
        <f>IF(Q1123="","",IF(Q1123&gt;=60,"HIGH",IF(Q1123&gt;=30,"MEDIUM","LOW")))</f>
        <v/>
      </c>
    </row>
    <row r="1124">
      <c r="A1124" t="n">
        <v>1123</v>
      </c>
      <c r="R1124">
        <f>IF(Q1124="","",IF(Q1124&gt;=60,"HIGH",IF(Q1124&gt;=30,"MEDIUM","LOW")))</f>
        <v/>
      </c>
    </row>
    <row r="1125">
      <c r="A1125" t="n">
        <v>1124</v>
      </c>
      <c r="R1125">
        <f>IF(Q1125="","",IF(Q1125&gt;=60,"HIGH",IF(Q1125&gt;=30,"MEDIUM","LOW")))</f>
        <v/>
      </c>
    </row>
    <row r="1126">
      <c r="A1126" t="n">
        <v>1125</v>
      </c>
      <c r="R1126">
        <f>IF(Q1126="","",IF(Q1126&gt;=60,"HIGH",IF(Q1126&gt;=30,"MEDIUM","LOW")))</f>
        <v/>
      </c>
    </row>
    <row r="1127">
      <c r="A1127" t="n">
        <v>1126</v>
      </c>
      <c r="R1127">
        <f>IF(Q1127="","",IF(Q1127&gt;=60,"HIGH",IF(Q1127&gt;=30,"MEDIUM","LOW")))</f>
        <v/>
      </c>
    </row>
    <row r="1128">
      <c r="A1128" t="n">
        <v>1127</v>
      </c>
      <c r="R1128">
        <f>IF(Q1128="","",IF(Q1128&gt;=60,"HIGH",IF(Q1128&gt;=30,"MEDIUM","LOW")))</f>
        <v/>
      </c>
    </row>
    <row r="1129">
      <c r="A1129" t="n">
        <v>1128</v>
      </c>
      <c r="R1129">
        <f>IF(Q1129="","",IF(Q1129&gt;=60,"HIGH",IF(Q1129&gt;=30,"MEDIUM","LOW")))</f>
        <v/>
      </c>
    </row>
    <row r="1130">
      <c r="A1130" t="n">
        <v>1129</v>
      </c>
      <c r="R1130">
        <f>IF(Q1130="","",IF(Q1130&gt;=60,"HIGH",IF(Q1130&gt;=30,"MEDIUM","LOW")))</f>
        <v/>
      </c>
    </row>
    <row r="1131">
      <c r="A1131" t="n">
        <v>1130</v>
      </c>
      <c r="R1131">
        <f>IF(Q1131="","",IF(Q1131&gt;=60,"HIGH",IF(Q1131&gt;=30,"MEDIUM","LOW")))</f>
        <v/>
      </c>
    </row>
    <row r="1132">
      <c r="A1132" t="n">
        <v>1131</v>
      </c>
      <c r="R1132">
        <f>IF(Q1132="","",IF(Q1132&gt;=60,"HIGH",IF(Q1132&gt;=30,"MEDIUM","LOW")))</f>
        <v/>
      </c>
    </row>
    <row r="1133">
      <c r="A1133" t="n">
        <v>1132</v>
      </c>
      <c r="R1133">
        <f>IF(Q1133="","",IF(Q1133&gt;=60,"HIGH",IF(Q1133&gt;=30,"MEDIUM","LOW")))</f>
        <v/>
      </c>
    </row>
    <row r="1134">
      <c r="A1134" t="n">
        <v>1133</v>
      </c>
      <c r="R1134">
        <f>IF(Q1134="","",IF(Q1134&gt;=60,"HIGH",IF(Q1134&gt;=30,"MEDIUM","LOW")))</f>
        <v/>
      </c>
    </row>
    <row r="1135">
      <c r="A1135" t="n">
        <v>1134</v>
      </c>
      <c r="R1135">
        <f>IF(Q1135="","",IF(Q1135&gt;=60,"HIGH",IF(Q1135&gt;=30,"MEDIUM","LOW")))</f>
        <v/>
      </c>
    </row>
    <row r="1136">
      <c r="A1136" t="n">
        <v>1135</v>
      </c>
      <c r="R1136">
        <f>IF(Q1136="","",IF(Q1136&gt;=60,"HIGH",IF(Q1136&gt;=30,"MEDIUM","LOW")))</f>
        <v/>
      </c>
    </row>
    <row r="1137">
      <c r="A1137" t="n">
        <v>1136</v>
      </c>
      <c r="R1137">
        <f>IF(Q1137="","",IF(Q1137&gt;=60,"HIGH",IF(Q1137&gt;=30,"MEDIUM","LOW")))</f>
        <v/>
      </c>
    </row>
    <row r="1138">
      <c r="A1138" t="n">
        <v>1137</v>
      </c>
      <c r="R1138">
        <f>IF(Q1138="","",IF(Q1138&gt;=60,"HIGH",IF(Q1138&gt;=30,"MEDIUM","LOW")))</f>
        <v/>
      </c>
    </row>
    <row r="1139">
      <c r="A1139" t="n">
        <v>1138</v>
      </c>
      <c r="R1139">
        <f>IF(Q1139="","",IF(Q1139&gt;=60,"HIGH",IF(Q1139&gt;=30,"MEDIUM","LOW")))</f>
        <v/>
      </c>
    </row>
    <row r="1140">
      <c r="A1140" t="n">
        <v>1139</v>
      </c>
      <c r="R1140">
        <f>IF(Q1140="","",IF(Q1140&gt;=60,"HIGH",IF(Q1140&gt;=30,"MEDIUM","LOW")))</f>
        <v/>
      </c>
    </row>
    <row r="1141">
      <c r="A1141" t="n">
        <v>1140</v>
      </c>
      <c r="R1141">
        <f>IF(Q1141="","",IF(Q1141&gt;=60,"HIGH",IF(Q1141&gt;=30,"MEDIUM","LOW")))</f>
        <v/>
      </c>
    </row>
    <row r="1142">
      <c r="A1142" t="n">
        <v>1141</v>
      </c>
      <c r="R1142">
        <f>IF(Q1142="","",IF(Q1142&gt;=60,"HIGH",IF(Q1142&gt;=30,"MEDIUM","LOW")))</f>
        <v/>
      </c>
    </row>
    <row r="1143">
      <c r="A1143" t="n">
        <v>1142</v>
      </c>
      <c r="R1143">
        <f>IF(Q1143="","",IF(Q1143&gt;=60,"HIGH",IF(Q1143&gt;=30,"MEDIUM","LOW")))</f>
        <v/>
      </c>
    </row>
    <row r="1144">
      <c r="A1144" t="n">
        <v>1143</v>
      </c>
      <c r="R1144">
        <f>IF(Q1144="","",IF(Q1144&gt;=60,"HIGH",IF(Q1144&gt;=30,"MEDIUM","LOW")))</f>
        <v/>
      </c>
    </row>
    <row r="1145">
      <c r="A1145" t="n">
        <v>1144</v>
      </c>
      <c r="R1145">
        <f>IF(Q1145="","",IF(Q1145&gt;=60,"HIGH",IF(Q1145&gt;=30,"MEDIUM","LOW")))</f>
        <v/>
      </c>
    </row>
    <row r="1146">
      <c r="A1146" t="n">
        <v>1145</v>
      </c>
      <c r="R1146">
        <f>IF(Q1146="","",IF(Q1146&gt;=60,"HIGH",IF(Q1146&gt;=30,"MEDIUM","LOW")))</f>
        <v/>
      </c>
    </row>
    <row r="1147">
      <c r="A1147" t="n">
        <v>1146</v>
      </c>
      <c r="R1147">
        <f>IF(Q1147="","",IF(Q1147&gt;=60,"HIGH",IF(Q1147&gt;=30,"MEDIUM","LOW")))</f>
        <v/>
      </c>
    </row>
    <row r="1148">
      <c r="A1148" t="n">
        <v>1147</v>
      </c>
      <c r="R1148">
        <f>IF(Q1148="","",IF(Q1148&gt;=60,"HIGH",IF(Q1148&gt;=30,"MEDIUM","LOW")))</f>
        <v/>
      </c>
    </row>
    <row r="1149">
      <c r="A1149" t="n">
        <v>1148</v>
      </c>
      <c r="R1149">
        <f>IF(Q1149="","",IF(Q1149&gt;=60,"HIGH",IF(Q1149&gt;=30,"MEDIUM","LOW")))</f>
        <v/>
      </c>
    </row>
    <row r="1150">
      <c r="A1150" t="n">
        <v>1149</v>
      </c>
      <c r="R1150">
        <f>IF(Q1150="","",IF(Q1150&gt;=60,"HIGH",IF(Q1150&gt;=30,"MEDIUM","LOW")))</f>
        <v/>
      </c>
    </row>
    <row r="1151">
      <c r="A1151" t="n">
        <v>1150</v>
      </c>
      <c r="R1151">
        <f>IF(Q1151="","",IF(Q1151&gt;=60,"HIGH",IF(Q1151&gt;=30,"MEDIUM","LOW")))</f>
        <v/>
      </c>
    </row>
    <row r="1152">
      <c r="A1152" t="n">
        <v>1151</v>
      </c>
      <c r="R1152">
        <f>IF(Q1152="","",IF(Q1152&gt;=60,"HIGH",IF(Q1152&gt;=30,"MEDIUM","LOW")))</f>
        <v/>
      </c>
    </row>
    <row r="1153">
      <c r="A1153" t="n">
        <v>1152</v>
      </c>
      <c r="R1153">
        <f>IF(Q1153="","",IF(Q1153&gt;=60,"HIGH",IF(Q1153&gt;=30,"MEDIUM","LOW")))</f>
        <v/>
      </c>
    </row>
    <row r="1154">
      <c r="A1154" t="n">
        <v>1153</v>
      </c>
      <c r="R1154">
        <f>IF(Q1154="","",IF(Q1154&gt;=60,"HIGH",IF(Q1154&gt;=30,"MEDIUM","LOW")))</f>
        <v/>
      </c>
    </row>
    <row r="1155">
      <c r="A1155" t="n">
        <v>1154</v>
      </c>
      <c r="R1155">
        <f>IF(Q1155="","",IF(Q1155&gt;=60,"HIGH",IF(Q1155&gt;=30,"MEDIUM","LOW")))</f>
        <v/>
      </c>
    </row>
    <row r="1156">
      <c r="A1156" t="n">
        <v>1155</v>
      </c>
      <c r="R1156">
        <f>IF(Q1156="","",IF(Q1156&gt;=60,"HIGH",IF(Q1156&gt;=30,"MEDIUM","LOW")))</f>
        <v/>
      </c>
    </row>
    <row r="1157">
      <c r="A1157" t="n">
        <v>1156</v>
      </c>
      <c r="R1157">
        <f>IF(Q1157="","",IF(Q1157&gt;=60,"HIGH",IF(Q1157&gt;=30,"MEDIUM","LOW")))</f>
        <v/>
      </c>
    </row>
    <row r="1158">
      <c r="A1158" t="n">
        <v>1157</v>
      </c>
      <c r="R1158">
        <f>IF(Q1158="","",IF(Q1158&gt;=60,"HIGH",IF(Q1158&gt;=30,"MEDIUM","LOW")))</f>
        <v/>
      </c>
    </row>
    <row r="1159">
      <c r="A1159" t="n">
        <v>1158</v>
      </c>
      <c r="R1159">
        <f>IF(Q1159="","",IF(Q1159&gt;=60,"HIGH",IF(Q1159&gt;=30,"MEDIUM","LOW")))</f>
        <v/>
      </c>
    </row>
    <row r="1160">
      <c r="A1160" t="n">
        <v>1159</v>
      </c>
      <c r="R1160">
        <f>IF(Q1160="","",IF(Q1160&gt;=60,"HIGH",IF(Q1160&gt;=30,"MEDIUM","LOW")))</f>
        <v/>
      </c>
    </row>
    <row r="1161">
      <c r="A1161" t="n">
        <v>1160</v>
      </c>
      <c r="R1161">
        <f>IF(Q1161="","",IF(Q1161&gt;=60,"HIGH",IF(Q1161&gt;=30,"MEDIUM","LOW")))</f>
        <v/>
      </c>
    </row>
    <row r="1162">
      <c r="A1162" t="n">
        <v>1161</v>
      </c>
      <c r="R1162">
        <f>IF(Q1162="","",IF(Q1162&gt;=60,"HIGH",IF(Q1162&gt;=30,"MEDIUM","LOW")))</f>
        <v/>
      </c>
    </row>
    <row r="1163">
      <c r="A1163" t="n">
        <v>1162</v>
      </c>
      <c r="R1163">
        <f>IF(Q1163="","",IF(Q1163&gt;=60,"HIGH",IF(Q1163&gt;=30,"MEDIUM","LOW")))</f>
        <v/>
      </c>
    </row>
    <row r="1164">
      <c r="A1164" t="n">
        <v>1163</v>
      </c>
      <c r="R1164">
        <f>IF(Q1164="","",IF(Q1164&gt;=60,"HIGH",IF(Q1164&gt;=30,"MEDIUM","LOW")))</f>
        <v/>
      </c>
    </row>
    <row r="1165">
      <c r="A1165" t="n">
        <v>1164</v>
      </c>
      <c r="R1165">
        <f>IF(Q1165="","",IF(Q1165&gt;=60,"HIGH",IF(Q1165&gt;=30,"MEDIUM","LOW")))</f>
        <v/>
      </c>
    </row>
    <row r="1166">
      <c r="A1166" t="n">
        <v>1165</v>
      </c>
      <c r="R1166">
        <f>IF(Q1166="","",IF(Q1166&gt;=60,"HIGH",IF(Q1166&gt;=30,"MEDIUM","LOW")))</f>
        <v/>
      </c>
    </row>
    <row r="1167">
      <c r="A1167" t="n">
        <v>1166</v>
      </c>
      <c r="R1167">
        <f>IF(Q1167="","",IF(Q1167&gt;=60,"HIGH",IF(Q1167&gt;=30,"MEDIUM","LOW")))</f>
        <v/>
      </c>
    </row>
    <row r="1168">
      <c r="A1168" t="n">
        <v>1167</v>
      </c>
      <c r="R1168">
        <f>IF(Q1168="","",IF(Q1168&gt;=60,"HIGH",IF(Q1168&gt;=30,"MEDIUM","LOW")))</f>
        <v/>
      </c>
    </row>
    <row r="1169">
      <c r="A1169" t="n">
        <v>1168</v>
      </c>
      <c r="R1169">
        <f>IF(Q1169="","",IF(Q1169&gt;=60,"HIGH",IF(Q1169&gt;=30,"MEDIUM","LOW")))</f>
        <v/>
      </c>
    </row>
    <row r="1170">
      <c r="A1170" t="n">
        <v>1169</v>
      </c>
      <c r="R1170">
        <f>IF(Q1170="","",IF(Q1170&gt;=60,"HIGH",IF(Q1170&gt;=30,"MEDIUM","LOW")))</f>
        <v/>
      </c>
    </row>
    <row r="1171">
      <c r="A1171" t="n">
        <v>1170</v>
      </c>
      <c r="R1171">
        <f>IF(Q1171="","",IF(Q1171&gt;=60,"HIGH",IF(Q1171&gt;=30,"MEDIUM","LOW")))</f>
        <v/>
      </c>
    </row>
    <row r="1172">
      <c r="A1172" t="n">
        <v>1171</v>
      </c>
      <c r="R1172">
        <f>IF(Q1172="","",IF(Q1172&gt;=60,"HIGH",IF(Q1172&gt;=30,"MEDIUM","LOW")))</f>
        <v/>
      </c>
    </row>
    <row r="1173">
      <c r="A1173" t="n">
        <v>1172</v>
      </c>
      <c r="R1173">
        <f>IF(Q1173="","",IF(Q1173&gt;=60,"HIGH",IF(Q1173&gt;=30,"MEDIUM","LOW")))</f>
        <v/>
      </c>
    </row>
    <row r="1174">
      <c r="A1174" t="n">
        <v>1173</v>
      </c>
      <c r="R1174">
        <f>IF(Q1174="","",IF(Q1174&gt;=60,"HIGH",IF(Q1174&gt;=30,"MEDIUM","LOW")))</f>
        <v/>
      </c>
    </row>
    <row r="1175">
      <c r="A1175" t="n">
        <v>1174</v>
      </c>
      <c r="R1175">
        <f>IF(Q1175="","",IF(Q1175&gt;=60,"HIGH",IF(Q1175&gt;=30,"MEDIUM","LOW")))</f>
        <v/>
      </c>
    </row>
    <row r="1176">
      <c r="A1176" t="n">
        <v>1175</v>
      </c>
      <c r="R1176">
        <f>IF(Q1176="","",IF(Q1176&gt;=60,"HIGH",IF(Q1176&gt;=30,"MEDIUM","LOW")))</f>
        <v/>
      </c>
    </row>
    <row r="1177">
      <c r="A1177" t="n">
        <v>1176</v>
      </c>
      <c r="R1177">
        <f>IF(Q1177="","",IF(Q1177&gt;=60,"HIGH",IF(Q1177&gt;=30,"MEDIUM","LOW")))</f>
        <v/>
      </c>
    </row>
    <row r="1178">
      <c r="A1178" t="n">
        <v>1177</v>
      </c>
      <c r="R1178">
        <f>IF(Q1178="","",IF(Q1178&gt;=60,"HIGH",IF(Q1178&gt;=30,"MEDIUM","LOW")))</f>
        <v/>
      </c>
    </row>
    <row r="1179">
      <c r="A1179" t="n">
        <v>1178</v>
      </c>
      <c r="R1179">
        <f>IF(Q1179="","",IF(Q1179&gt;=60,"HIGH",IF(Q1179&gt;=30,"MEDIUM","LOW")))</f>
        <v/>
      </c>
    </row>
    <row r="1180">
      <c r="A1180" t="n">
        <v>1179</v>
      </c>
      <c r="R1180">
        <f>IF(Q1180="","",IF(Q1180&gt;=60,"HIGH",IF(Q1180&gt;=30,"MEDIUM","LOW")))</f>
        <v/>
      </c>
    </row>
    <row r="1181">
      <c r="A1181" t="n">
        <v>1180</v>
      </c>
      <c r="R1181">
        <f>IF(Q1181="","",IF(Q1181&gt;=60,"HIGH",IF(Q1181&gt;=30,"MEDIUM","LOW")))</f>
        <v/>
      </c>
    </row>
    <row r="1182">
      <c r="A1182" t="n">
        <v>1181</v>
      </c>
      <c r="R1182">
        <f>IF(Q1182="","",IF(Q1182&gt;=60,"HIGH",IF(Q1182&gt;=30,"MEDIUM","LOW")))</f>
        <v/>
      </c>
    </row>
    <row r="1183">
      <c r="A1183" t="n">
        <v>1182</v>
      </c>
      <c r="R1183">
        <f>IF(Q1183="","",IF(Q1183&gt;=60,"HIGH",IF(Q1183&gt;=30,"MEDIUM","LOW")))</f>
        <v/>
      </c>
    </row>
    <row r="1184">
      <c r="A1184" t="n">
        <v>1183</v>
      </c>
      <c r="R1184">
        <f>IF(Q1184="","",IF(Q1184&gt;=60,"HIGH",IF(Q1184&gt;=30,"MEDIUM","LOW")))</f>
        <v/>
      </c>
    </row>
    <row r="1185">
      <c r="A1185" t="n">
        <v>1184</v>
      </c>
      <c r="R1185">
        <f>IF(Q1185="","",IF(Q1185&gt;=60,"HIGH",IF(Q1185&gt;=30,"MEDIUM","LOW")))</f>
        <v/>
      </c>
    </row>
    <row r="1186">
      <c r="A1186" t="n">
        <v>1185</v>
      </c>
      <c r="R1186">
        <f>IF(Q1186="","",IF(Q1186&gt;=60,"HIGH",IF(Q1186&gt;=30,"MEDIUM","LOW")))</f>
        <v/>
      </c>
    </row>
    <row r="1187">
      <c r="A1187" t="n">
        <v>1186</v>
      </c>
      <c r="R1187">
        <f>IF(Q1187="","",IF(Q1187&gt;=60,"HIGH",IF(Q1187&gt;=30,"MEDIUM","LOW")))</f>
        <v/>
      </c>
    </row>
    <row r="1188">
      <c r="A1188" t="n">
        <v>1187</v>
      </c>
      <c r="R1188">
        <f>IF(Q1188="","",IF(Q1188&gt;=60,"HIGH",IF(Q1188&gt;=30,"MEDIUM","LOW")))</f>
        <v/>
      </c>
    </row>
    <row r="1189">
      <c r="A1189" t="n">
        <v>1188</v>
      </c>
      <c r="R1189">
        <f>IF(Q1189="","",IF(Q1189&gt;=60,"HIGH",IF(Q1189&gt;=30,"MEDIUM","LOW")))</f>
        <v/>
      </c>
    </row>
    <row r="1190">
      <c r="A1190" t="n">
        <v>1189</v>
      </c>
      <c r="R1190">
        <f>IF(Q1190="","",IF(Q1190&gt;=60,"HIGH",IF(Q1190&gt;=30,"MEDIUM","LOW")))</f>
        <v/>
      </c>
    </row>
    <row r="1191">
      <c r="A1191" t="n">
        <v>1190</v>
      </c>
      <c r="R1191">
        <f>IF(Q1191="","",IF(Q1191&gt;=60,"HIGH",IF(Q1191&gt;=30,"MEDIUM","LOW")))</f>
        <v/>
      </c>
    </row>
    <row r="1192">
      <c r="A1192" t="n">
        <v>1191</v>
      </c>
      <c r="R1192">
        <f>IF(Q1192="","",IF(Q1192&gt;=60,"HIGH",IF(Q1192&gt;=30,"MEDIUM","LOW")))</f>
        <v/>
      </c>
    </row>
    <row r="1193">
      <c r="A1193" t="n">
        <v>1192</v>
      </c>
      <c r="R1193">
        <f>IF(Q1193="","",IF(Q1193&gt;=60,"HIGH",IF(Q1193&gt;=30,"MEDIUM","LOW")))</f>
        <v/>
      </c>
    </row>
    <row r="1194">
      <c r="A1194" t="n">
        <v>1193</v>
      </c>
      <c r="R1194">
        <f>IF(Q1194="","",IF(Q1194&gt;=60,"HIGH",IF(Q1194&gt;=30,"MEDIUM","LOW")))</f>
        <v/>
      </c>
    </row>
    <row r="1195">
      <c r="A1195" t="n">
        <v>1194</v>
      </c>
      <c r="R1195">
        <f>IF(Q1195="","",IF(Q1195&gt;=60,"HIGH",IF(Q1195&gt;=30,"MEDIUM","LOW")))</f>
        <v/>
      </c>
    </row>
    <row r="1196">
      <c r="A1196" t="n">
        <v>1195</v>
      </c>
      <c r="R1196">
        <f>IF(Q1196="","",IF(Q1196&gt;=60,"HIGH",IF(Q1196&gt;=30,"MEDIUM","LOW")))</f>
        <v/>
      </c>
    </row>
    <row r="1197">
      <c r="A1197" t="n">
        <v>1196</v>
      </c>
      <c r="R1197">
        <f>IF(Q1197="","",IF(Q1197&gt;=60,"HIGH",IF(Q1197&gt;=30,"MEDIUM","LOW")))</f>
        <v/>
      </c>
    </row>
    <row r="1198">
      <c r="A1198" t="n">
        <v>1197</v>
      </c>
      <c r="R1198">
        <f>IF(Q1198="","",IF(Q1198&gt;=60,"HIGH",IF(Q1198&gt;=30,"MEDIUM","LOW")))</f>
        <v/>
      </c>
    </row>
    <row r="1199">
      <c r="A1199" t="n">
        <v>1198</v>
      </c>
      <c r="R1199">
        <f>IF(Q1199="","",IF(Q1199&gt;=60,"HIGH",IF(Q1199&gt;=30,"MEDIUM","LOW")))</f>
        <v/>
      </c>
    </row>
    <row r="1200">
      <c r="A1200" t="n">
        <v>1199</v>
      </c>
      <c r="R1200">
        <f>IF(Q1200="","",IF(Q1200&gt;=60,"HIGH",IF(Q1200&gt;=30,"MEDIUM","LOW")))</f>
        <v/>
      </c>
    </row>
    <row r="1201">
      <c r="A1201" t="n">
        <v>1200</v>
      </c>
      <c r="R1201">
        <f>IF(Q1201="","",IF(Q1201&gt;=60,"HIGH",IF(Q1201&gt;=30,"MEDIUM","LOW")))</f>
        <v/>
      </c>
    </row>
    <row r="1202">
      <c r="A1202" t="n">
        <v>1201</v>
      </c>
      <c r="R1202">
        <f>IF(Q1202="","",IF(Q1202&gt;=60,"HIGH",IF(Q1202&gt;=30,"MEDIUM","LOW")))</f>
        <v/>
      </c>
    </row>
    <row r="1203">
      <c r="A1203" t="n">
        <v>1202</v>
      </c>
      <c r="R1203">
        <f>IF(Q1203="","",IF(Q1203&gt;=60,"HIGH",IF(Q1203&gt;=30,"MEDIUM","LOW")))</f>
        <v/>
      </c>
    </row>
    <row r="1204">
      <c r="A1204" t="n">
        <v>1203</v>
      </c>
      <c r="R1204">
        <f>IF(Q1204="","",IF(Q1204&gt;=60,"HIGH",IF(Q1204&gt;=30,"MEDIUM","LOW")))</f>
        <v/>
      </c>
    </row>
    <row r="1205">
      <c r="A1205" t="n">
        <v>1204</v>
      </c>
      <c r="R1205">
        <f>IF(Q1205="","",IF(Q1205&gt;=60,"HIGH",IF(Q1205&gt;=30,"MEDIUM","LOW")))</f>
        <v/>
      </c>
    </row>
    <row r="1206">
      <c r="A1206" t="n">
        <v>1205</v>
      </c>
      <c r="R1206">
        <f>IF(Q1206="","",IF(Q1206&gt;=60,"HIGH",IF(Q1206&gt;=30,"MEDIUM","LOW")))</f>
        <v/>
      </c>
    </row>
    <row r="1207">
      <c r="A1207" t="n">
        <v>1206</v>
      </c>
      <c r="R1207">
        <f>IF(Q1207="","",IF(Q1207&gt;=60,"HIGH",IF(Q1207&gt;=30,"MEDIUM","LOW")))</f>
        <v/>
      </c>
    </row>
    <row r="1208">
      <c r="A1208" t="n">
        <v>1207</v>
      </c>
      <c r="R1208">
        <f>IF(Q1208="","",IF(Q1208&gt;=60,"HIGH",IF(Q1208&gt;=30,"MEDIUM","LOW")))</f>
        <v/>
      </c>
    </row>
    <row r="1209">
      <c r="A1209" t="n">
        <v>1208</v>
      </c>
      <c r="R1209">
        <f>IF(Q1209="","",IF(Q1209&gt;=60,"HIGH",IF(Q1209&gt;=30,"MEDIUM","LOW")))</f>
        <v/>
      </c>
    </row>
    <row r="1210">
      <c r="A1210" t="n">
        <v>1209</v>
      </c>
      <c r="R1210">
        <f>IF(Q1210="","",IF(Q1210&gt;=60,"HIGH",IF(Q1210&gt;=30,"MEDIUM","LOW")))</f>
        <v/>
      </c>
    </row>
    <row r="1211">
      <c r="A1211" t="n">
        <v>1210</v>
      </c>
      <c r="R1211">
        <f>IF(Q1211="","",IF(Q1211&gt;=60,"HIGH",IF(Q1211&gt;=30,"MEDIUM","LOW")))</f>
        <v/>
      </c>
    </row>
    <row r="1212">
      <c r="A1212" t="n">
        <v>1211</v>
      </c>
      <c r="R1212">
        <f>IF(Q1212="","",IF(Q1212&gt;=60,"HIGH",IF(Q1212&gt;=30,"MEDIUM","LOW")))</f>
        <v/>
      </c>
    </row>
    <row r="1213">
      <c r="A1213" t="n">
        <v>1212</v>
      </c>
      <c r="R1213">
        <f>IF(Q1213="","",IF(Q1213&gt;=60,"HIGH",IF(Q1213&gt;=30,"MEDIUM","LOW")))</f>
        <v/>
      </c>
    </row>
    <row r="1214">
      <c r="A1214" t="n">
        <v>1213</v>
      </c>
      <c r="R1214">
        <f>IF(Q1214="","",IF(Q1214&gt;=60,"HIGH",IF(Q1214&gt;=30,"MEDIUM","LOW")))</f>
        <v/>
      </c>
    </row>
    <row r="1215">
      <c r="A1215" t="n">
        <v>1214</v>
      </c>
      <c r="R1215">
        <f>IF(Q1215="","",IF(Q1215&gt;=60,"HIGH",IF(Q1215&gt;=30,"MEDIUM","LOW")))</f>
        <v/>
      </c>
    </row>
    <row r="1216">
      <c r="A1216" t="n">
        <v>1215</v>
      </c>
      <c r="R1216">
        <f>IF(Q1216="","",IF(Q1216&gt;=60,"HIGH",IF(Q1216&gt;=30,"MEDIUM","LOW")))</f>
        <v/>
      </c>
    </row>
    <row r="1217">
      <c r="A1217" t="n">
        <v>1216</v>
      </c>
      <c r="R1217">
        <f>IF(Q1217="","",IF(Q1217&gt;=60,"HIGH",IF(Q1217&gt;=30,"MEDIUM","LOW")))</f>
        <v/>
      </c>
    </row>
    <row r="1218">
      <c r="A1218" t="n">
        <v>1217</v>
      </c>
      <c r="R1218">
        <f>IF(Q1218="","",IF(Q1218&gt;=60,"HIGH",IF(Q1218&gt;=30,"MEDIUM","LOW")))</f>
        <v/>
      </c>
    </row>
    <row r="1219">
      <c r="A1219" t="n">
        <v>1218</v>
      </c>
      <c r="R1219">
        <f>IF(Q1219="","",IF(Q1219&gt;=60,"HIGH",IF(Q1219&gt;=30,"MEDIUM","LOW")))</f>
        <v/>
      </c>
    </row>
    <row r="1220">
      <c r="A1220" t="n">
        <v>1219</v>
      </c>
      <c r="R1220">
        <f>IF(Q1220="","",IF(Q1220&gt;=60,"HIGH",IF(Q1220&gt;=30,"MEDIUM","LOW")))</f>
        <v/>
      </c>
    </row>
    <row r="1221">
      <c r="A1221" t="n">
        <v>1220</v>
      </c>
      <c r="R1221">
        <f>IF(Q1221="","",IF(Q1221&gt;=60,"HIGH",IF(Q1221&gt;=30,"MEDIUM","LOW")))</f>
        <v/>
      </c>
    </row>
    <row r="1222">
      <c r="A1222" t="n">
        <v>1221</v>
      </c>
      <c r="R1222">
        <f>IF(Q1222="","",IF(Q1222&gt;=60,"HIGH",IF(Q1222&gt;=30,"MEDIUM","LOW")))</f>
        <v/>
      </c>
    </row>
    <row r="1223">
      <c r="A1223" t="n">
        <v>1222</v>
      </c>
      <c r="R1223">
        <f>IF(Q1223="","",IF(Q1223&gt;=60,"HIGH",IF(Q1223&gt;=30,"MEDIUM","LOW")))</f>
        <v/>
      </c>
    </row>
    <row r="1224">
      <c r="A1224" t="n">
        <v>1223</v>
      </c>
      <c r="R1224">
        <f>IF(Q1224="","",IF(Q1224&gt;=60,"HIGH",IF(Q1224&gt;=30,"MEDIUM","LOW")))</f>
        <v/>
      </c>
    </row>
    <row r="1225">
      <c r="A1225" t="n">
        <v>1224</v>
      </c>
      <c r="R1225">
        <f>IF(Q1225="","",IF(Q1225&gt;=60,"HIGH",IF(Q1225&gt;=30,"MEDIUM","LOW")))</f>
        <v/>
      </c>
    </row>
    <row r="1226">
      <c r="A1226" t="n">
        <v>1225</v>
      </c>
      <c r="R1226">
        <f>IF(Q1226="","",IF(Q1226&gt;=60,"HIGH",IF(Q1226&gt;=30,"MEDIUM","LOW")))</f>
        <v/>
      </c>
    </row>
    <row r="1227">
      <c r="A1227" t="n">
        <v>1226</v>
      </c>
      <c r="R1227">
        <f>IF(Q1227="","",IF(Q1227&gt;=60,"HIGH",IF(Q1227&gt;=30,"MEDIUM","LOW")))</f>
        <v/>
      </c>
    </row>
    <row r="1228">
      <c r="A1228" t="n">
        <v>1227</v>
      </c>
      <c r="R1228">
        <f>IF(Q1228="","",IF(Q1228&gt;=60,"HIGH",IF(Q1228&gt;=30,"MEDIUM","LOW")))</f>
        <v/>
      </c>
    </row>
    <row r="1229">
      <c r="A1229" t="n">
        <v>1228</v>
      </c>
      <c r="R1229">
        <f>IF(Q1229="","",IF(Q1229&gt;=60,"HIGH",IF(Q1229&gt;=30,"MEDIUM","LOW")))</f>
        <v/>
      </c>
    </row>
    <row r="1230">
      <c r="A1230" t="n">
        <v>1229</v>
      </c>
      <c r="R1230">
        <f>IF(Q1230="","",IF(Q1230&gt;=60,"HIGH",IF(Q1230&gt;=30,"MEDIUM","LOW")))</f>
        <v/>
      </c>
    </row>
    <row r="1231">
      <c r="A1231" t="n">
        <v>1230</v>
      </c>
      <c r="R1231">
        <f>IF(Q1231="","",IF(Q1231&gt;=60,"HIGH",IF(Q1231&gt;=30,"MEDIUM","LOW")))</f>
        <v/>
      </c>
    </row>
    <row r="1232">
      <c r="A1232" t="n">
        <v>1231</v>
      </c>
      <c r="R1232">
        <f>IF(Q1232="","",IF(Q1232&gt;=60,"HIGH",IF(Q1232&gt;=30,"MEDIUM","LOW")))</f>
        <v/>
      </c>
    </row>
    <row r="1233">
      <c r="A1233" t="n">
        <v>1232</v>
      </c>
      <c r="R1233">
        <f>IF(Q1233="","",IF(Q1233&gt;=60,"HIGH",IF(Q1233&gt;=30,"MEDIUM","LOW")))</f>
        <v/>
      </c>
    </row>
    <row r="1234">
      <c r="A1234" t="n">
        <v>1233</v>
      </c>
      <c r="R1234">
        <f>IF(Q1234="","",IF(Q1234&gt;=60,"HIGH",IF(Q1234&gt;=30,"MEDIUM","LOW")))</f>
        <v/>
      </c>
    </row>
    <row r="1235">
      <c r="A1235" t="n">
        <v>1234</v>
      </c>
      <c r="R1235">
        <f>IF(Q1235="","",IF(Q1235&gt;=60,"HIGH",IF(Q1235&gt;=30,"MEDIUM","LOW")))</f>
        <v/>
      </c>
    </row>
    <row r="1236">
      <c r="A1236" t="n">
        <v>1235</v>
      </c>
      <c r="R1236">
        <f>IF(Q1236="","",IF(Q1236&gt;=60,"HIGH",IF(Q1236&gt;=30,"MEDIUM","LOW")))</f>
        <v/>
      </c>
    </row>
    <row r="1237">
      <c r="A1237" t="n">
        <v>1236</v>
      </c>
      <c r="R1237">
        <f>IF(Q1237="","",IF(Q1237&gt;=60,"HIGH",IF(Q1237&gt;=30,"MEDIUM","LOW")))</f>
        <v/>
      </c>
    </row>
    <row r="1238">
      <c r="A1238" t="n">
        <v>1237</v>
      </c>
      <c r="R1238">
        <f>IF(Q1238="","",IF(Q1238&gt;=60,"HIGH",IF(Q1238&gt;=30,"MEDIUM","LOW")))</f>
        <v/>
      </c>
    </row>
    <row r="1239">
      <c r="A1239" t="n">
        <v>1238</v>
      </c>
      <c r="R1239">
        <f>IF(Q1239="","",IF(Q1239&gt;=60,"HIGH",IF(Q1239&gt;=30,"MEDIUM","LOW")))</f>
        <v/>
      </c>
    </row>
    <row r="1240">
      <c r="A1240" t="n">
        <v>1239</v>
      </c>
      <c r="R1240">
        <f>IF(Q1240="","",IF(Q1240&gt;=60,"HIGH",IF(Q1240&gt;=30,"MEDIUM","LOW")))</f>
        <v/>
      </c>
    </row>
    <row r="1241">
      <c r="A1241" t="n">
        <v>1240</v>
      </c>
      <c r="R1241">
        <f>IF(Q1241="","",IF(Q1241&gt;=60,"HIGH",IF(Q1241&gt;=30,"MEDIUM","LOW")))</f>
        <v/>
      </c>
    </row>
    <row r="1242">
      <c r="A1242" t="n">
        <v>1241</v>
      </c>
      <c r="R1242">
        <f>IF(Q1242="","",IF(Q1242&gt;=60,"HIGH",IF(Q1242&gt;=30,"MEDIUM","LOW")))</f>
        <v/>
      </c>
    </row>
    <row r="1243">
      <c r="A1243" t="n">
        <v>1242</v>
      </c>
      <c r="R1243">
        <f>IF(Q1243="","",IF(Q1243&gt;=60,"HIGH",IF(Q1243&gt;=30,"MEDIUM","LOW")))</f>
        <v/>
      </c>
    </row>
    <row r="1244">
      <c r="A1244" t="n">
        <v>1243</v>
      </c>
      <c r="R1244">
        <f>IF(Q1244="","",IF(Q1244&gt;=60,"HIGH",IF(Q1244&gt;=30,"MEDIUM","LOW")))</f>
        <v/>
      </c>
    </row>
    <row r="1245">
      <c r="A1245" t="n">
        <v>1244</v>
      </c>
      <c r="R1245">
        <f>IF(Q1245="","",IF(Q1245&gt;=60,"HIGH",IF(Q1245&gt;=30,"MEDIUM","LOW")))</f>
        <v/>
      </c>
    </row>
    <row r="1246">
      <c r="A1246" t="n">
        <v>1245</v>
      </c>
      <c r="R1246">
        <f>IF(Q1246="","",IF(Q1246&gt;=60,"HIGH",IF(Q1246&gt;=30,"MEDIUM","LOW")))</f>
        <v/>
      </c>
    </row>
    <row r="1247">
      <c r="A1247" t="n">
        <v>1246</v>
      </c>
      <c r="R1247">
        <f>IF(Q1247="","",IF(Q1247&gt;=60,"HIGH",IF(Q1247&gt;=30,"MEDIUM","LOW")))</f>
        <v/>
      </c>
    </row>
    <row r="1248">
      <c r="A1248" t="n">
        <v>1247</v>
      </c>
      <c r="R1248">
        <f>IF(Q1248="","",IF(Q1248&gt;=60,"HIGH",IF(Q1248&gt;=30,"MEDIUM","LOW")))</f>
        <v/>
      </c>
    </row>
    <row r="1249">
      <c r="A1249" t="n">
        <v>1248</v>
      </c>
      <c r="R1249">
        <f>IF(Q1249="","",IF(Q1249&gt;=60,"HIGH",IF(Q1249&gt;=30,"MEDIUM","LOW")))</f>
        <v/>
      </c>
    </row>
    <row r="1250">
      <c r="A1250" t="n">
        <v>1249</v>
      </c>
      <c r="R1250">
        <f>IF(Q1250="","",IF(Q1250&gt;=60,"HIGH",IF(Q1250&gt;=30,"MEDIUM","LOW")))</f>
        <v/>
      </c>
    </row>
    <row r="1251">
      <c r="A1251" t="n">
        <v>1250</v>
      </c>
      <c r="R1251">
        <f>IF(Q1251="","",IF(Q1251&gt;=60,"HIGH",IF(Q1251&gt;=30,"MEDIUM","LOW")))</f>
        <v/>
      </c>
    </row>
    <row r="1252">
      <c r="A1252" t="n">
        <v>1251</v>
      </c>
      <c r="R1252">
        <f>IF(Q1252="","",IF(Q1252&gt;=60,"HIGH",IF(Q1252&gt;=30,"MEDIUM","LOW")))</f>
        <v/>
      </c>
    </row>
    <row r="1253">
      <c r="A1253" t="n">
        <v>1252</v>
      </c>
      <c r="R1253">
        <f>IF(Q1253="","",IF(Q1253&gt;=60,"HIGH",IF(Q1253&gt;=30,"MEDIUM","LOW")))</f>
        <v/>
      </c>
    </row>
    <row r="1254">
      <c r="A1254" t="n">
        <v>1253</v>
      </c>
      <c r="R1254">
        <f>IF(Q1254="","",IF(Q1254&gt;=60,"HIGH",IF(Q1254&gt;=30,"MEDIUM","LOW")))</f>
        <v/>
      </c>
    </row>
    <row r="1255">
      <c r="A1255" t="n">
        <v>1254</v>
      </c>
      <c r="R1255">
        <f>IF(Q1255="","",IF(Q1255&gt;=60,"HIGH",IF(Q1255&gt;=30,"MEDIUM","LOW")))</f>
        <v/>
      </c>
    </row>
    <row r="1256">
      <c r="A1256" t="n">
        <v>1255</v>
      </c>
      <c r="R1256">
        <f>IF(Q1256="","",IF(Q1256&gt;=60,"HIGH",IF(Q1256&gt;=30,"MEDIUM","LOW")))</f>
        <v/>
      </c>
    </row>
    <row r="1257">
      <c r="A1257" t="n">
        <v>1256</v>
      </c>
      <c r="R1257">
        <f>IF(Q1257="","",IF(Q1257&gt;=60,"HIGH",IF(Q1257&gt;=30,"MEDIUM","LOW")))</f>
        <v/>
      </c>
    </row>
    <row r="1258">
      <c r="A1258" t="n">
        <v>1257</v>
      </c>
      <c r="R1258">
        <f>IF(Q1258="","",IF(Q1258&gt;=60,"HIGH",IF(Q1258&gt;=30,"MEDIUM","LOW")))</f>
        <v/>
      </c>
    </row>
    <row r="1259">
      <c r="A1259" t="n">
        <v>1258</v>
      </c>
      <c r="R1259">
        <f>IF(Q1259="","",IF(Q1259&gt;=60,"HIGH",IF(Q1259&gt;=30,"MEDIUM","LOW")))</f>
        <v/>
      </c>
    </row>
    <row r="1260">
      <c r="A1260" t="n">
        <v>1259</v>
      </c>
      <c r="R1260">
        <f>IF(Q1260="","",IF(Q1260&gt;=60,"HIGH",IF(Q1260&gt;=30,"MEDIUM","LOW")))</f>
        <v/>
      </c>
    </row>
    <row r="1261">
      <c r="A1261" t="n">
        <v>1260</v>
      </c>
      <c r="R1261">
        <f>IF(Q1261="","",IF(Q1261&gt;=60,"HIGH",IF(Q1261&gt;=30,"MEDIUM","LOW")))</f>
        <v/>
      </c>
    </row>
    <row r="1262">
      <c r="A1262" t="n">
        <v>1261</v>
      </c>
      <c r="R1262">
        <f>IF(Q1262="","",IF(Q1262&gt;=60,"HIGH",IF(Q1262&gt;=30,"MEDIUM","LOW")))</f>
        <v/>
      </c>
    </row>
    <row r="1263">
      <c r="A1263" t="n">
        <v>1262</v>
      </c>
      <c r="R1263">
        <f>IF(Q1263="","",IF(Q1263&gt;=60,"HIGH",IF(Q1263&gt;=30,"MEDIUM","LOW")))</f>
        <v/>
      </c>
    </row>
    <row r="1264">
      <c r="A1264" t="n">
        <v>1263</v>
      </c>
      <c r="R1264">
        <f>IF(Q1264="","",IF(Q1264&gt;=60,"HIGH",IF(Q1264&gt;=30,"MEDIUM","LOW")))</f>
        <v/>
      </c>
    </row>
    <row r="1265">
      <c r="A1265" t="n">
        <v>1264</v>
      </c>
      <c r="R1265">
        <f>IF(Q1265="","",IF(Q1265&gt;=60,"HIGH",IF(Q1265&gt;=30,"MEDIUM","LOW")))</f>
        <v/>
      </c>
    </row>
    <row r="1266">
      <c r="A1266" t="n">
        <v>1265</v>
      </c>
      <c r="R1266">
        <f>IF(Q1266="","",IF(Q1266&gt;=60,"HIGH",IF(Q1266&gt;=30,"MEDIUM","LOW")))</f>
        <v/>
      </c>
    </row>
    <row r="1267">
      <c r="A1267" t="n">
        <v>1266</v>
      </c>
      <c r="R1267">
        <f>IF(Q1267="","",IF(Q1267&gt;=60,"HIGH",IF(Q1267&gt;=30,"MEDIUM","LOW")))</f>
        <v/>
      </c>
    </row>
    <row r="1268">
      <c r="A1268" t="n">
        <v>1267</v>
      </c>
      <c r="R1268">
        <f>IF(Q1268="","",IF(Q1268&gt;=60,"HIGH",IF(Q1268&gt;=30,"MEDIUM","LOW")))</f>
        <v/>
      </c>
    </row>
    <row r="1269">
      <c r="A1269" t="n">
        <v>1268</v>
      </c>
      <c r="R1269">
        <f>IF(Q1269="","",IF(Q1269&gt;=60,"HIGH",IF(Q1269&gt;=30,"MEDIUM","LOW")))</f>
        <v/>
      </c>
    </row>
    <row r="1270">
      <c r="A1270" t="n">
        <v>1269</v>
      </c>
      <c r="R1270">
        <f>IF(Q1270="","",IF(Q1270&gt;=60,"HIGH",IF(Q1270&gt;=30,"MEDIUM","LOW")))</f>
        <v/>
      </c>
    </row>
    <row r="1271">
      <c r="A1271" t="n">
        <v>1270</v>
      </c>
      <c r="R1271">
        <f>IF(Q1271="","",IF(Q1271&gt;=60,"HIGH",IF(Q1271&gt;=30,"MEDIUM","LOW")))</f>
        <v/>
      </c>
    </row>
    <row r="1272">
      <c r="A1272" t="n">
        <v>1271</v>
      </c>
      <c r="R1272">
        <f>IF(Q1272="","",IF(Q1272&gt;=60,"HIGH",IF(Q1272&gt;=30,"MEDIUM","LOW")))</f>
        <v/>
      </c>
    </row>
    <row r="1273">
      <c r="A1273" t="n">
        <v>1272</v>
      </c>
      <c r="R1273">
        <f>IF(Q1273="","",IF(Q1273&gt;=60,"HIGH",IF(Q1273&gt;=30,"MEDIUM","LOW")))</f>
        <v/>
      </c>
    </row>
    <row r="1274">
      <c r="A1274" t="n">
        <v>1273</v>
      </c>
      <c r="R1274">
        <f>IF(Q1274="","",IF(Q1274&gt;=60,"HIGH",IF(Q1274&gt;=30,"MEDIUM","LOW")))</f>
        <v/>
      </c>
    </row>
    <row r="1275">
      <c r="A1275" t="n">
        <v>1274</v>
      </c>
      <c r="R1275">
        <f>IF(Q1275="","",IF(Q1275&gt;=60,"HIGH",IF(Q1275&gt;=30,"MEDIUM","LOW")))</f>
        <v/>
      </c>
    </row>
    <row r="1276">
      <c r="A1276" t="n">
        <v>1275</v>
      </c>
      <c r="R1276">
        <f>IF(Q1276="","",IF(Q1276&gt;=60,"HIGH",IF(Q1276&gt;=30,"MEDIUM","LOW")))</f>
        <v/>
      </c>
    </row>
    <row r="1277">
      <c r="A1277" t="n">
        <v>1276</v>
      </c>
      <c r="R1277">
        <f>IF(Q1277="","",IF(Q1277&gt;=60,"HIGH",IF(Q1277&gt;=30,"MEDIUM","LOW")))</f>
        <v/>
      </c>
    </row>
    <row r="1278">
      <c r="A1278" t="n">
        <v>1277</v>
      </c>
      <c r="R1278">
        <f>IF(Q1278="","",IF(Q1278&gt;=60,"HIGH",IF(Q1278&gt;=30,"MEDIUM","LOW")))</f>
        <v/>
      </c>
    </row>
    <row r="1279">
      <c r="A1279" t="n">
        <v>1278</v>
      </c>
      <c r="R1279">
        <f>IF(Q1279="","",IF(Q1279&gt;=60,"HIGH",IF(Q1279&gt;=30,"MEDIUM","LOW")))</f>
        <v/>
      </c>
    </row>
    <row r="1280">
      <c r="A1280" t="n">
        <v>1279</v>
      </c>
      <c r="R1280">
        <f>IF(Q1280="","",IF(Q1280&gt;=60,"HIGH",IF(Q1280&gt;=30,"MEDIUM","LOW")))</f>
        <v/>
      </c>
    </row>
    <row r="1281">
      <c r="A1281" t="n">
        <v>1280</v>
      </c>
      <c r="R1281">
        <f>IF(Q1281="","",IF(Q1281&gt;=60,"HIGH",IF(Q1281&gt;=30,"MEDIUM","LOW")))</f>
        <v/>
      </c>
    </row>
    <row r="1282">
      <c r="A1282" t="n">
        <v>1281</v>
      </c>
      <c r="R1282">
        <f>IF(Q1282="","",IF(Q1282&gt;=60,"HIGH",IF(Q1282&gt;=30,"MEDIUM","LOW")))</f>
        <v/>
      </c>
    </row>
    <row r="1283">
      <c r="A1283" t="n">
        <v>1282</v>
      </c>
      <c r="R1283">
        <f>IF(Q1283="","",IF(Q1283&gt;=60,"HIGH",IF(Q1283&gt;=30,"MEDIUM","LOW")))</f>
        <v/>
      </c>
    </row>
    <row r="1284">
      <c r="A1284" t="n">
        <v>1283</v>
      </c>
      <c r="R1284">
        <f>IF(Q1284="","",IF(Q1284&gt;=60,"HIGH",IF(Q1284&gt;=30,"MEDIUM","LOW")))</f>
        <v/>
      </c>
    </row>
    <row r="1285">
      <c r="A1285" t="n">
        <v>1284</v>
      </c>
      <c r="R1285">
        <f>IF(Q1285="","",IF(Q1285&gt;=60,"HIGH",IF(Q1285&gt;=30,"MEDIUM","LOW")))</f>
        <v/>
      </c>
    </row>
    <row r="1286">
      <c r="A1286" t="n">
        <v>1285</v>
      </c>
      <c r="R1286">
        <f>IF(Q1286="","",IF(Q1286&gt;=60,"HIGH",IF(Q1286&gt;=30,"MEDIUM","LOW")))</f>
        <v/>
      </c>
    </row>
    <row r="1287">
      <c r="A1287" t="n">
        <v>1286</v>
      </c>
      <c r="R1287">
        <f>IF(Q1287="","",IF(Q1287&gt;=60,"HIGH",IF(Q1287&gt;=30,"MEDIUM","LOW")))</f>
        <v/>
      </c>
    </row>
    <row r="1288">
      <c r="A1288" t="n">
        <v>1287</v>
      </c>
      <c r="R1288">
        <f>IF(Q1288="","",IF(Q1288&gt;=60,"HIGH",IF(Q1288&gt;=30,"MEDIUM","LOW")))</f>
        <v/>
      </c>
    </row>
    <row r="1289">
      <c r="A1289" t="n">
        <v>1288</v>
      </c>
      <c r="R1289">
        <f>IF(Q1289="","",IF(Q1289&gt;=60,"HIGH",IF(Q1289&gt;=30,"MEDIUM","LOW")))</f>
        <v/>
      </c>
    </row>
    <row r="1290">
      <c r="A1290" t="n">
        <v>1289</v>
      </c>
      <c r="R1290">
        <f>IF(Q1290="","",IF(Q1290&gt;=60,"HIGH",IF(Q1290&gt;=30,"MEDIUM","LOW")))</f>
        <v/>
      </c>
    </row>
    <row r="1291">
      <c r="A1291" t="n">
        <v>1290</v>
      </c>
      <c r="R1291">
        <f>IF(Q1291="","",IF(Q1291&gt;=60,"HIGH",IF(Q1291&gt;=30,"MEDIUM","LOW")))</f>
        <v/>
      </c>
    </row>
    <row r="1292">
      <c r="A1292" t="n">
        <v>1291</v>
      </c>
      <c r="R1292">
        <f>IF(Q1292="","",IF(Q1292&gt;=60,"HIGH",IF(Q1292&gt;=30,"MEDIUM","LOW")))</f>
        <v/>
      </c>
    </row>
    <row r="1293">
      <c r="A1293" t="n">
        <v>1292</v>
      </c>
      <c r="R1293">
        <f>IF(Q1293="","",IF(Q1293&gt;=60,"HIGH",IF(Q1293&gt;=30,"MEDIUM","LOW")))</f>
        <v/>
      </c>
    </row>
    <row r="1294">
      <c r="A1294" t="n">
        <v>1293</v>
      </c>
      <c r="R1294">
        <f>IF(Q1294="","",IF(Q1294&gt;=60,"HIGH",IF(Q1294&gt;=30,"MEDIUM","LOW")))</f>
        <v/>
      </c>
    </row>
    <row r="1295">
      <c r="A1295" t="n">
        <v>1294</v>
      </c>
      <c r="R1295">
        <f>IF(Q1295="","",IF(Q1295&gt;=60,"HIGH",IF(Q1295&gt;=30,"MEDIUM","LOW")))</f>
        <v/>
      </c>
    </row>
    <row r="1296">
      <c r="A1296" t="n">
        <v>1295</v>
      </c>
      <c r="R1296">
        <f>IF(Q1296="","",IF(Q1296&gt;=60,"HIGH",IF(Q1296&gt;=30,"MEDIUM","LOW")))</f>
        <v/>
      </c>
    </row>
    <row r="1297">
      <c r="A1297" t="n">
        <v>1296</v>
      </c>
      <c r="R1297">
        <f>IF(Q1297="","",IF(Q1297&gt;=60,"HIGH",IF(Q1297&gt;=30,"MEDIUM","LOW")))</f>
        <v/>
      </c>
    </row>
    <row r="1298">
      <c r="A1298" t="n">
        <v>1297</v>
      </c>
      <c r="R1298">
        <f>IF(Q1298="","",IF(Q1298&gt;=60,"HIGH",IF(Q1298&gt;=30,"MEDIUM","LOW")))</f>
        <v/>
      </c>
    </row>
    <row r="1299">
      <c r="A1299" t="n">
        <v>1298</v>
      </c>
      <c r="R1299">
        <f>IF(Q1299="","",IF(Q1299&gt;=60,"HIGH",IF(Q1299&gt;=30,"MEDIUM","LOW")))</f>
        <v/>
      </c>
    </row>
    <row r="1300">
      <c r="A1300" t="n">
        <v>1299</v>
      </c>
      <c r="R1300">
        <f>IF(Q1300="","",IF(Q1300&gt;=60,"HIGH",IF(Q1300&gt;=30,"MEDIUM","LOW")))</f>
        <v/>
      </c>
    </row>
    <row r="1301">
      <c r="A1301" t="n">
        <v>1300</v>
      </c>
      <c r="R1301">
        <f>IF(Q1301="","",IF(Q1301&gt;=60,"HIGH",IF(Q1301&gt;=30,"MEDIUM","LOW")))</f>
        <v/>
      </c>
    </row>
    <row r="1302">
      <c r="A1302" t="n">
        <v>1301</v>
      </c>
      <c r="R1302">
        <f>IF(Q1302="","",IF(Q1302&gt;=60,"HIGH",IF(Q1302&gt;=30,"MEDIUM","LOW")))</f>
        <v/>
      </c>
    </row>
    <row r="1303">
      <c r="A1303" t="n">
        <v>1302</v>
      </c>
      <c r="R1303">
        <f>IF(Q1303="","",IF(Q1303&gt;=60,"HIGH",IF(Q1303&gt;=30,"MEDIUM","LOW")))</f>
        <v/>
      </c>
    </row>
    <row r="1304">
      <c r="A1304" t="n">
        <v>1303</v>
      </c>
      <c r="R1304">
        <f>IF(Q1304="","",IF(Q1304&gt;=60,"HIGH",IF(Q1304&gt;=30,"MEDIUM","LOW")))</f>
        <v/>
      </c>
    </row>
    <row r="1305">
      <c r="A1305" t="n">
        <v>1304</v>
      </c>
      <c r="R1305">
        <f>IF(Q1305="","",IF(Q1305&gt;=60,"HIGH",IF(Q1305&gt;=30,"MEDIUM","LOW")))</f>
        <v/>
      </c>
    </row>
    <row r="1306">
      <c r="A1306" t="n">
        <v>1305</v>
      </c>
      <c r="R1306">
        <f>IF(Q1306="","",IF(Q1306&gt;=60,"HIGH",IF(Q1306&gt;=30,"MEDIUM","LOW")))</f>
        <v/>
      </c>
    </row>
    <row r="1307">
      <c r="A1307" t="n">
        <v>1306</v>
      </c>
      <c r="R1307">
        <f>IF(Q1307="","",IF(Q1307&gt;=60,"HIGH",IF(Q1307&gt;=30,"MEDIUM","LOW")))</f>
        <v/>
      </c>
    </row>
    <row r="1308">
      <c r="A1308" t="n">
        <v>1307</v>
      </c>
      <c r="R1308">
        <f>IF(Q1308="","",IF(Q1308&gt;=60,"HIGH",IF(Q1308&gt;=30,"MEDIUM","LOW")))</f>
        <v/>
      </c>
    </row>
    <row r="1309">
      <c r="A1309" t="n">
        <v>1308</v>
      </c>
      <c r="R1309">
        <f>IF(Q1309="","",IF(Q1309&gt;=60,"HIGH",IF(Q1309&gt;=30,"MEDIUM","LOW")))</f>
        <v/>
      </c>
    </row>
    <row r="1310">
      <c r="A1310" t="n">
        <v>1309</v>
      </c>
      <c r="R1310">
        <f>IF(Q1310="","",IF(Q1310&gt;=60,"HIGH",IF(Q1310&gt;=30,"MEDIUM","LOW")))</f>
        <v/>
      </c>
    </row>
    <row r="1311">
      <c r="A1311" t="n">
        <v>1310</v>
      </c>
      <c r="R1311">
        <f>IF(Q1311="","",IF(Q1311&gt;=60,"HIGH",IF(Q1311&gt;=30,"MEDIUM","LOW")))</f>
        <v/>
      </c>
    </row>
    <row r="1312">
      <c r="A1312" t="n">
        <v>1311</v>
      </c>
      <c r="R1312">
        <f>IF(Q1312="","",IF(Q1312&gt;=60,"HIGH",IF(Q1312&gt;=30,"MEDIUM","LOW")))</f>
        <v/>
      </c>
    </row>
    <row r="1313">
      <c r="A1313" t="n">
        <v>1312</v>
      </c>
      <c r="R1313">
        <f>IF(Q1313="","",IF(Q1313&gt;=60,"HIGH",IF(Q1313&gt;=30,"MEDIUM","LOW")))</f>
        <v/>
      </c>
    </row>
    <row r="1314">
      <c r="A1314" t="n">
        <v>1313</v>
      </c>
      <c r="R1314">
        <f>IF(Q1314="","",IF(Q1314&gt;=60,"HIGH",IF(Q1314&gt;=30,"MEDIUM","LOW")))</f>
        <v/>
      </c>
    </row>
    <row r="1315">
      <c r="A1315" t="n">
        <v>1314</v>
      </c>
      <c r="R1315">
        <f>IF(Q1315="","",IF(Q1315&gt;=60,"HIGH",IF(Q1315&gt;=30,"MEDIUM","LOW")))</f>
        <v/>
      </c>
    </row>
    <row r="1316">
      <c r="A1316" t="n">
        <v>1315</v>
      </c>
      <c r="R1316">
        <f>IF(Q1316="","",IF(Q1316&gt;=60,"HIGH",IF(Q1316&gt;=30,"MEDIUM","LOW")))</f>
        <v/>
      </c>
    </row>
    <row r="1317">
      <c r="A1317" t="n">
        <v>1316</v>
      </c>
      <c r="R1317">
        <f>IF(Q1317="","",IF(Q1317&gt;=60,"HIGH",IF(Q1317&gt;=30,"MEDIUM","LOW")))</f>
        <v/>
      </c>
    </row>
    <row r="1318">
      <c r="A1318" t="n">
        <v>1317</v>
      </c>
      <c r="R1318">
        <f>IF(Q1318="","",IF(Q1318&gt;=60,"HIGH",IF(Q1318&gt;=30,"MEDIUM","LOW")))</f>
        <v/>
      </c>
    </row>
    <row r="1319">
      <c r="A1319" t="n">
        <v>1318</v>
      </c>
      <c r="R1319">
        <f>IF(Q1319="","",IF(Q1319&gt;=60,"HIGH",IF(Q1319&gt;=30,"MEDIUM","LOW")))</f>
        <v/>
      </c>
    </row>
    <row r="1320">
      <c r="A1320" t="n">
        <v>1319</v>
      </c>
      <c r="R1320">
        <f>IF(Q1320="","",IF(Q1320&gt;=60,"HIGH",IF(Q1320&gt;=30,"MEDIUM","LOW")))</f>
        <v/>
      </c>
    </row>
    <row r="1321">
      <c r="A1321" t="n">
        <v>1320</v>
      </c>
      <c r="R1321">
        <f>IF(Q1321="","",IF(Q1321&gt;=60,"HIGH",IF(Q1321&gt;=30,"MEDIUM","LOW")))</f>
        <v/>
      </c>
    </row>
    <row r="1322">
      <c r="A1322" t="n">
        <v>1321</v>
      </c>
      <c r="R1322">
        <f>IF(Q1322="","",IF(Q1322&gt;=60,"HIGH",IF(Q1322&gt;=30,"MEDIUM","LOW")))</f>
        <v/>
      </c>
    </row>
    <row r="1323">
      <c r="A1323" t="n">
        <v>1322</v>
      </c>
      <c r="R1323">
        <f>IF(Q1323="","",IF(Q1323&gt;=60,"HIGH",IF(Q1323&gt;=30,"MEDIUM","LOW")))</f>
        <v/>
      </c>
    </row>
    <row r="1324">
      <c r="A1324" t="n">
        <v>1323</v>
      </c>
      <c r="R1324">
        <f>IF(Q1324="","",IF(Q1324&gt;=60,"HIGH",IF(Q1324&gt;=30,"MEDIUM","LOW")))</f>
        <v/>
      </c>
    </row>
    <row r="1325">
      <c r="A1325" t="n">
        <v>1324</v>
      </c>
      <c r="R1325">
        <f>IF(Q1325="","",IF(Q1325&gt;=60,"HIGH",IF(Q1325&gt;=30,"MEDIUM","LOW")))</f>
        <v/>
      </c>
    </row>
    <row r="1326">
      <c r="A1326" t="n">
        <v>1325</v>
      </c>
      <c r="R1326">
        <f>IF(Q1326="","",IF(Q1326&gt;=60,"HIGH",IF(Q1326&gt;=30,"MEDIUM","LOW")))</f>
        <v/>
      </c>
    </row>
    <row r="1327">
      <c r="A1327" t="n">
        <v>1326</v>
      </c>
      <c r="R1327">
        <f>IF(Q1327="","",IF(Q1327&gt;=60,"HIGH",IF(Q1327&gt;=30,"MEDIUM","LOW")))</f>
        <v/>
      </c>
    </row>
    <row r="1328">
      <c r="A1328" t="n">
        <v>1327</v>
      </c>
      <c r="R1328">
        <f>IF(Q1328="","",IF(Q1328&gt;=60,"HIGH",IF(Q1328&gt;=30,"MEDIUM","LOW")))</f>
        <v/>
      </c>
    </row>
    <row r="1329">
      <c r="A1329" t="n">
        <v>1328</v>
      </c>
      <c r="R1329">
        <f>IF(Q1329="","",IF(Q1329&gt;=60,"HIGH",IF(Q1329&gt;=30,"MEDIUM","LOW")))</f>
        <v/>
      </c>
    </row>
    <row r="1330">
      <c r="A1330" t="n">
        <v>1329</v>
      </c>
      <c r="R1330">
        <f>IF(Q1330="","",IF(Q1330&gt;=60,"HIGH",IF(Q1330&gt;=30,"MEDIUM","LOW")))</f>
        <v/>
      </c>
    </row>
    <row r="1331">
      <c r="A1331" t="n">
        <v>1330</v>
      </c>
      <c r="R1331">
        <f>IF(Q1331="","",IF(Q1331&gt;=60,"HIGH",IF(Q1331&gt;=30,"MEDIUM","LOW")))</f>
        <v/>
      </c>
    </row>
    <row r="1332">
      <c r="A1332" t="n">
        <v>1331</v>
      </c>
      <c r="R1332">
        <f>IF(Q1332="","",IF(Q1332&gt;=60,"HIGH",IF(Q1332&gt;=30,"MEDIUM","LOW")))</f>
        <v/>
      </c>
    </row>
    <row r="1333">
      <c r="A1333" t="n">
        <v>1332</v>
      </c>
      <c r="R1333">
        <f>IF(Q1333="","",IF(Q1333&gt;=60,"HIGH",IF(Q1333&gt;=30,"MEDIUM","LOW")))</f>
        <v/>
      </c>
    </row>
    <row r="1334">
      <c r="A1334" t="n">
        <v>1333</v>
      </c>
      <c r="R1334">
        <f>IF(Q1334="","",IF(Q1334&gt;=60,"HIGH",IF(Q1334&gt;=30,"MEDIUM","LOW")))</f>
        <v/>
      </c>
    </row>
    <row r="1335">
      <c r="A1335" t="n">
        <v>1334</v>
      </c>
      <c r="R1335">
        <f>IF(Q1335="","",IF(Q1335&gt;=60,"HIGH",IF(Q1335&gt;=30,"MEDIUM","LOW")))</f>
        <v/>
      </c>
    </row>
    <row r="1336">
      <c r="A1336" t="n">
        <v>1335</v>
      </c>
      <c r="R1336">
        <f>IF(Q1336="","",IF(Q1336&gt;=60,"HIGH",IF(Q1336&gt;=30,"MEDIUM","LOW")))</f>
        <v/>
      </c>
    </row>
    <row r="1337">
      <c r="A1337" t="n">
        <v>1336</v>
      </c>
      <c r="R1337">
        <f>IF(Q1337="","",IF(Q1337&gt;=60,"HIGH",IF(Q1337&gt;=30,"MEDIUM","LOW")))</f>
        <v/>
      </c>
    </row>
    <row r="1338">
      <c r="A1338" t="n">
        <v>1337</v>
      </c>
      <c r="R1338">
        <f>IF(Q1338="","",IF(Q1338&gt;=60,"HIGH",IF(Q1338&gt;=30,"MEDIUM","LOW")))</f>
        <v/>
      </c>
    </row>
    <row r="1339">
      <c r="A1339" t="n">
        <v>1338</v>
      </c>
      <c r="R1339">
        <f>IF(Q1339="","",IF(Q1339&gt;=60,"HIGH",IF(Q1339&gt;=30,"MEDIUM","LOW")))</f>
        <v/>
      </c>
    </row>
    <row r="1340">
      <c r="A1340" t="n">
        <v>1339</v>
      </c>
      <c r="R1340">
        <f>IF(Q1340="","",IF(Q1340&gt;=60,"HIGH",IF(Q1340&gt;=30,"MEDIUM","LOW")))</f>
        <v/>
      </c>
    </row>
    <row r="1341">
      <c r="A1341" t="n">
        <v>1340</v>
      </c>
      <c r="R1341">
        <f>IF(Q1341="","",IF(Q1341&gt;=60,"HIGH",IF(Q1341&gt;=30,"MEDIUM","LOW")))</f>
        <v/>
      </c>
    </row>
    <row r="1342">
      <c r="A1342" t="n">
        <v>1341</v>
      </c>
      <c r="R1342">
        <f>IF(Q1342="","",IF(Q1342&gt;=60,"HIGH",IF(Q1342&gt;=30,"MEDIUM","LOW")))</f>
        <v/>
      </c>
    </row>
    <row r="1343">
      <c r="A1343" t="n">
        <v>1342</v>
      </c>
      <c r="R1343">
        <f>IF(Q1343="","",IF(Q1343&gt;=60,"HIGH",IF(Q1343&gt;=30,"MEDIUM","LOW")))</f>
        <v/>
      </c>
    </row>
    <row r="1344">
      <c r="A1344" t="n">
        <v>1343</v>
      </c>
      <c r="R1344">
        <f>IF(Q1344="","",IF(Q1344&gt;=60,"HIGH",IF(Q1344&gt;=30,"MEDIUM","LOW")))</f>
        <v/>
      </c>
    </row>
    <row r="1345">
      <c r="A1345" t="n">
        <v>1344</v>
      </c>
      <c r="R1345">
        <f>IF(Q1345="","",IF(Q1345&gt;=60,"HIGH",IF(Q1345&gt;=30,"MEDIUM","LOW")))</f>
        <v/>
      </c>
    </row>
    <row r="1346">
      <c r="A1346" t="n">
        <v>1345</v>
      </c>
      <c r="R1346">
        <f>IF(Q1346="","",IF(Q1346&gt;=60,"HIGH",IF(Q1346&gt;=30,"MEDIUM","LOW")))</f>
        <v/>
      </c>
    </row>
    <row r="1347">
      <c r="A1347" t="n">
        <v>1346</v>
      </c>
      <c r="R1347">
        <f>IF(Q1347="","",IF(Q1347&gt;=60,"HIGH",IF(Q1347&gt;=30,"MEDIUM","LOW")))</f>
        <v/>
      </c>
    </row>
    <row r="1348">
      <c r="A1348" t="n">
        <v>1347</v>
      </c>
      <c r="R1348">
        <f>IF(Q1348="","",IF(Q1348&gt;=60,"HIGH",IF(Q1348&gt;=30,"MEDIUM","LOW")))</f>
        <v/>
      </c>
    </row>
    <row r="1349">
      <c r="A1349" t="n">
        <v>1348</v>
      </c>
      <c r="R1349">
        <f>IF(Q1349="","",IF(Q1349&gt;=60,"HIGH",IF(Q1349&gt;=30,"MEDIUM","LOW")))</f>
        <v/>
      </c>
    </row>
    <row r="1350">
      <c r="A1350" t="n">
        <v>1349</v>
      </c>
      <c r="R1350">
        <f>IF(Q1350="","",IF(Q1350&gt;=60,"HIGH",IF(Q1350&gt;=30,"MEDIUM","LOW")))</f>
        <v/>
      </c>
    </row>
    <row r="1351">
      <c r="A1351" t="n">
        <v>1350</v>
      </c>
      <c r="R1351">
        <f>IF(Q1351="","",IF(Q1351&gt;=60,"HIGH",IF(Q1351&gt;=30,"MEDIUM","LOW")))</f>
        <v/>
      </c>
    </row>
    <row r="1352">
      <c r="A1352" t="n">
        <v>1351</v>
      </c>
      <c r="R1352">
        <f>IF(Q1352="","",IF(Q1352&gt;=60,"HIGH",IF(Q1352&gt;=30,"MEDIUM","LOW")))</f>
        <v/>
      </c>
    </row>
    <row r="1353">
      <c r="A1353" t="n">
        <v>1352</v>
      </c>
      <c r="R1353">
        <f>IF(Q1353="","",IF(Q1353&gt;=60,"HIGH",IF(Q1353&gt;=30,"MEDIUM","LOW")))</f>
        <v/>
      </c>
    </row>
    <row r="1354">
      <c r="A1354" t="n">
        <v>1353</v>
      </c>
      <c r="R1354">
        <f>IF(Q1354="","",IF(Q1354&gt;=60,"HIGH",IF(Q1354&gt;=30,"MEDIUM","LOW")))</f>
        <v/>
      </c>
    </row>
    <row r="1355">
      <c r="A1355" t="n">
        <v>1354</v>
      </c>
      <c r="R1355">
        <f>IF(Q1355="","",IF(Q1355&gt;=60,"HIGH",IF(Q1355&gt;=30,"MEDIUM","LOW")))</f>
        <v/>
      </c>
    </row>
    <row r="1356">
      <c r="A1356" t="n">
        <v>1355</v>
      </c>
      <c r="R1356">
        <f>IF(Q1356="","",IF(Q1356&gt;=60,"HIGH",IF(Q1356&gt;=30,"MEDIUM","LOW")))</f>
        <v/>
      </c>
    </row>
    <row r="1357">
      <c r="A1357" t="n">
        <v>1356</v>
      </c>
      <c r="R1357">
        <f>IF(Q1357="","",IF(Q1357&gt;=60,"HIGH",IF(Q1357&gt;=30,"MEDIUM","LOW")))</f>
        <v/>
      </c>
    </row>
    <row r="1358">
      <c r="A1358" t="n">
        <v>1357</v>
      </c>
      <c r="R1358">
        <f>IF(Q1358="","",IF(Q1358&gt;=60,"HIGH",IF(Q1358&gt;=30,"MEDIUM","LOW")))</f>
        <v/>
      </c>
    </row>
    <row r="1359">
      <c r="A1359" t="n">
        <v>1358</v>
      </c>
      <c r="R1359">
        <f>IF(Q1359="","",IF(Q1359&gt;=60,"HIGH",IF(Q1359&gt;=30,"MEDIUM","LOW")))</f>
        <v/>
      </c>
    </row>
    <row r="1360">
      <c r="A1360" t="n">
        <v>1359</v>
      </c>
      <c r="R1360">
        <f>IF(Q1360="","",IF(Q1360&gt;=60,"HIGH",IF(Q1360&gt;=30,"MEDIUM","LOW")))</f>
        <v/>
      </c>
    </row>
    <row r="1361">
      <c r="A1361" t="n">
        <v>1360</v>
      </c>
      <c r="R1361">
        <f>IF(Q1361="","",IF(Q1361&gt;=60,"HIGH",IF(Q1361&gt;=30,"MEDIUM","LOW")))</f>
        <v/>
      </c>
    </row>
    <row r="1362">
      <c r="A1362" t="n">
        <v>1361</v>
      </c>
      <c r="R1362">
        <f>IF(Q1362="","",IF(Q1362&gt;=60,"HIGH",IF(Q1362&gt;=30,"MEDIUM","LOW")))</f>
        <v/>
      </c>
    </row>
    <row r="1363">
      <c r="A1363" t="n">
        <v>1362</v>
      </c>
      <c r="R1363">
        <f>IF(Q1363="","",IF(Q1363&gt;=60,"HIGH",IF(Q1363&gt;=30,"MEDIUM","LOW")))</f>
        <v/>
      </c>
    </row>
    <row r="1364">
      <c r="A1364" t="n">
        <v>1363</v>
      </c>
      <c r="R1364">
        <f>IF(Q1364="","",IF(Q1364&gt;=60,"HIGH",IF(Q1364&gt;=30,"MEDIUM","LOW")))</f>
        <v/>
      </c>
    </row>
    <row r="1365">
      <c r="A1365" t="n">
        <v>1364</v>
      </c>
      <c r="R1365">
        <f>IF(Q1365="","",IF(Q1365&gt;=60,"HIGH",IF(Q1365&gt;=30,"MEDIUM","LOW")))</f>
        <v/>
      </c>
    </row>
    <row r="1366">
      <c r="A1366" t="n">
        <v>1365</v>
      </c>
      <c r="R1366">
        <f>IF(Q1366="","",IF(Q1366&gt;=60,"HIGH",IF(Q1366&gt;=30,"MEDIUM","LOW")))</f>
        <v/>
      </c>
    </row>
    <row r="1367">
      <c r="A1367" t="n">
        <v>1366</v>
      </c>
      <c r="R1367">
        <f>IF(Q1367="","",IF(Q1367&gt;=60,"HIGH",IF(Q1367&gt;=30,"MEDIUM","LOW")))</f>
        <v/>
      </c>
    </row>
    <row r="1368">
      <c r="A1368" t="n">
        <v>1367</v>
      </c>
      <c r="R1368">
        <f>IF(Q1368="","",IF(Q1368&gt;=60,"HIGH",IF(Q1368&gt;=30,"MEDIUM","LOW")))</f>
        <v/>
      </c>
    </row>
    <row r="1369">
      <c r="A1369" t="n">
        <v>1368</v>
      </c>
      <c r="R1369">
        <f>IF(Q1369="","",IF(Q1369&gt;=60,"HIGH",IF(Q1369&gt;=30,"MEDIUM","LOW")))</f>
        <v/>
      </c>
    </row>
    <row r="1370">
      <c r="A1370" t="n">
        <v>1369</v>
      </c>
      <c r="R1370">
        <f>IF(Q1370="","",IF(Q1370&gt;=60,"HIGH",IF(Q1370&gt;=30,"MEDIUM","LOW")))</f>
        <v/>
      </c>
    </row>
    <row r="1371">
      <c r="A1371" t="n">
        <v>1370</v>
      </c>
      <c r="R1371">
        <f>IF(Q1371="","",IF(Q1371&gt;=60,"HIGH",IF(Q1371&gt;=30,"MEDIUM","LOW")))</f>
        <v/>
      </c>
    </row>
    <row r="1372">
      <c r="A1372" t="n">
        <v>1371</v>
      </c>
      <c r="R1372">
        <f>IF(Q1372="","",IF(Q1372&gt;=60,"HIGH",IF(Q1372&gt;=30,"MEDIUM","LOW")))</f>
        <v/>
      </c>
    </row>
    <row r="1373">
      <c r="A1373" t="n">
        <v>1372</v>
      </c>
      <c r="R1373">
        <f>IF(Q1373="","",IF(Q1373&gt;=60,"HIGH",IF(Q1373&gt;=30,"MEDIUM","LOW")))</f>
        <v/>
      </c>
    </row>
    <row r="1374">
      <c r="A1374" t="n">
        <v>1373</v>
      </c>
      <c r="R1374">
        <f>IF(Q1374="","",IF(Q1374&gt;=60,"HIGH",IF(Q1374&gt;=30,"MEDIUM","LOW")))</f>
        <v/>
      </c>
    </row>
    <row r="1375">
      <c r="A1375" t="n">
        <v>1374</v>
      </c>
      <c r="R1375">
        <f>IF(Q1375="","",IF(Q1375&gt;=60,"HIGH",IF(Q1375&gt;=30,"MEDIUM","LOW")))</f>
        <v/>
      </c>
    </row>
    <row r="1376">
      <c r="A1376" t="n">
        <v>1375</v>
      </c>
      <c r="R1376">
        <f>IF(Q1376="","",IF(Q1376&gt;=60,"HIGH",IF(Q1376&gt;=30,"MEDIUM","LOW")))</f>
        <v/>
      </c>
    </row>
    <row r="1377">
      <c r="A1377" t="n">
        <v>1376</v>
      </c>
      <c r="R1377">
        <f>IF(Q1377="","",IF(Q1377&gt;=60,"HIGH",IF(Q1377&gt;=30,"MEDIUM","LOW")))</f>
        <v/>
      </c>
    </row>
    <row r="1378">
      <c r="A1378" t="n">
        <v>1377</v>
      </c>
      <c r="R1378">
        <f>IF(Q1378="","",IF(Q1378&gt;=60,"HIGH",IF(Q1378&gt;=30,"MEDIUM","LOW")))</f>
        <v/>
      </c>
    </row>
    <row r="1379">
      <c r="A1379" t="n">
        <v>1378</v>
      </c>
      <c r="R1379">
        <f>IF(Q1379="","",IF(Q1379&gt;=60,"HIGH",IF(Q1379&gt;=30,"MEDIUM","LOW")))</f>
        <v/>
      </c>
    </row>
    <row r="1380">
      <c r="A1380" t="n">
        <v>1379</v>
      </c>
      <c r="R1380">
        <f>IF(Q1380="","",IF(Q1380&gt;=60,"HIGH",IF(Q1380&gt;=30,"MEDIUM","LOW")))</f>
        <v/>
      </c>
    </row>
    <row r="1381">
      <c r="A1381" t="n">
        <v>1380</v>
      </c>
      <c r="R1381">
        <f>IF(Q1381="","",IF(Q1381&gt;=60,"HIGH",IF(Q1381&gt;=30,"MEDIUM","LOW")))</f>
        <v/>
      </c>
    </row>
    <row r="1382">
      <c r="A1382" t="n">
        <v>1381</v>
      </c>
      <c r="R1382">
        <f>IF(Q1382="","",IF(Q1382&gt;=60,"HIGH",IF(Q1382&gt;=30,"MEDIUM","LOW")))</f>
        <v/>
      </c>
    </row>
    <row r="1383">
      <c r="A1383" t="n">
        <v>1382</v>
      </c>
      <c r="R1383">
        <f>IF(Q1383="","",IF(Q1383&gt;=60,"HIGH",IF(Q1383&gt;=30,"MEDIUM","LOW")))</f>
        <v/>
      </c>
    </row>
    <row r="1384">
      <c r="A1384" t="n">
        <v>1383</v>
      </c>
      <c r="R1384">
        <f>IF(Q1384="","",IF(Q1384&gt;=60,"HIGH",IF(Q1384&gt;=30,"MEDIUM","LOW")))</f>
        <v/>
      </c>
    </row>
    <row r="1385">
      <c r="A1385" t="n">
        <v>1384</v>
      </c>
      <c r="R1385">
        <f>IF(Q1385="","",IF(Q1385&gt;=60,"HIGH",IF(Q1385&gt;=30,"MEDIUM","LOW")))</f>
        <v/>
      </c>
    </row>
    <row r="1386">
      <c r="A1386" t="n">
        <v>1385</v>
      </c>
      <c r="R1386">
        <f>IF(Q1386="","",IF(Q1386&gt;=60,"HIGH",IF(Q1386&gt;=30,"MEDIUM","LOW")))</f>
        <v/>
      </c>
    </row>
    <row r="1387">
      <c r="A1387" t="n">
        <v>1386</v>
      </c>
      <c r="R1387">
        <f>IF(Q1387="","",IF(Q1387&gt;=60,"HIGH",IF(Q1387&gt;=30,"MEDIUM","LOW")))</f>
        <v/>
      </c>
    </row>
    <row r="1388">
      <c r="A1388" t="n">
        <v>1387</v>
      </c>
      <c r="R1388">
        <f>IF(Q1388="","",IF(Q1388&gt;=60,"HIGH",IF(Q1388&gt;=30,"MEDIUM","LOW")))</f>
        <v/>
      </c>
    </row>
    <row r="1389">
      <c r="A1389" t="n">
        <v>1388</v>
      </c>
      <c r="R1389">
        <f>IF(Q1389="","",IF(Q1389&gt;=60,"HIGH",IF(Q1389&gt;=30,"MEDIUM","LOW")))</f>
        <v/>
      </c>
    </row>
    <row r="1390">
      <c r="A1390" t="n">
        <v>1389</v>
      </c>
      <c r="R1390">
        <f>IF(Q1390="","",IF(Q1390&gt;=60,"HIGH",IF(Q1390&gt;=30,"MEDIUM","LOW")))</f>
        <v/>
      </c>
    </row>
    <row r="1391">
      <c r="A1391" t="n">
        <v>1390</v>
      </c>
      <c r="R1391">
        <f>IF(Q1391="","",IF(Q1391&gt;=60,"HIGH",IF(Q1391&gt;=30,"MEDIUM","LOW")))</f>
        <v/>
      </c>
    </row>
    <row r="1392">
      <c r="A1392" t="n">
        <v>1391</v>
      </c>
      <c r="R1392">
        <f>IF(Q1392="","",IF(Q1392&gt;=60,"HIGH",IF(Q1392&gt;=30,"MEDIUM","LOW")))</f>
        <v/>
      </c>
    </row>
    <row r="1393">
      <c r="A1393" t="n">
        <v>1392</v>
      </c>
      <c r="R1393">
        <f>IF(Q1393="","",IF(Q1393&gt;=60,"HIGH",IF(Q1393&gt;=30,"MEDIUM","LOW")))</f>
        <v/>
      </c>
    </row>
    <row r="1394">
      <c r="A1394" t="n">
        <v>1393</v>
      </c>
      <c r="R1394">
        <f>IF(Q1394="","",IF(Q1394&gt;=60,"HIGH",IF(Q1394&gt;=30,"MEDIUM","LOW")))</f>
        <v/>
      </c>
    </row>
    <row r="1395">
      <c r="A1395" t="n">
        <v>1394</v>
      </c>
      <c r="R1395">
        <f>IF(Q1395="","",IF(Q1395&gt;=60,"HIGH",IF(Q1395&gt;=30,"MEDIUM","LOW")))</f>
        <v/>
      </c>
    </row>
    <row r="1396">
      <c r="A1396" t="n">
        <v>1395</v>
      </c>
      <c r="R1396">
        <f>IF(Q1396="","",IF(Q1396&gt;=60,"HIGH",IF(Q1396&gt;=30,"MEDIUM","LOW")))</f>
        <v/>
      </c>
    </row>
    <row r="1397">
      <c r="A1397" t="n">
        <v>1396</v>
      </c>
      <c r="R1397">
        <f>IF(Q1397="","",IF(Q1397&gt;=60,"HIGH",IF(Q1397&gt;=30,"MEDIUM","LOW")))</f>
        <v/>
      </c>
    </row>
    <row r="1398">
      <c r="A1398" t="n">
        <v>1397</v>
      </c>
      <c r="R1398">
        <f>IF(Q1398="","",IF(Q1398&gt;=60,"HIGH",IF(Q1398&gt;=30,"MEDIUM","LOW")))</f>
        <v/>
      </c>
    </row>
    <row r="1399">
      <c r="A1399" t="n">
        <v>1398</v>
      </c>
      <c r="R1399">
        <f>IF(Q1399="","",IF(Q1399&gt;=60,"HIGH",IF(Q1399&gt;=30,"MEDIUM","LOW")))</f>
        <v/>
      </c>
    </row>
    <row r="1400">
      <c r="A1400" t="n">
        <v>1399</v>
      </c>
      <c r="R1400">
        <f>IF(Q1400="","",IF(Q1400&gt;=60,"HIGH",IF(Q1400&gt;=30,"MEDIUM","LOW")))</f>
        <v/>
      </c>
    </row>
    <row r="1401">
      <c r="A1401" t="n">
        <v>1400</v>
      </c>
      <c r="R1401">
        <f>IF(Q1401="","",IF(Q1401&gt;=60,"HIGH",IF(Q1401&gt;=30,"MEDIUM","LOW")))</f>
        <v/>
      </c>
    </row>
    <row r="1402">
      <c r="A1402" t="n">
        <v>1401</v>
      </c>
      <c r="R1402">
        <f>IF(Q1402="","",IF(Q1402&gt;=60,"HIGH",IF(Q1402&gt;=30,"MEDIUM","LOW")))</f>
        <v/>
      </c>
    </row>
    <row r="1403">
      <c r="A1403" t="n">
        <v>1402</v>
      </c>
      <c r="R1403">
        <f>IF(Q1403="","",IF(Q1403&gt;=60,"HIGH",IF(Q1403&gt;=30,"MEDIUM","LOW")))</f>
        <v/>
      </c>
    </row>
    <row r="1404">
      <c r="A1404" t="n">
        <v>1403</v>
      </c>
      <c r="R1404">
        <f>IF(Q1404="","",IF(Q1404&gt;=60,"HIGH",IF(Q1404&gt;=30,"MEDIUM","LOW")))</f>
        <v/>
      </c>
    </row>
    <row r="1405">
      <c r="A1405" t="n">
        <v>1404</v>
      </c>
      <c r="R1405">
        <f>IF(Q1405="","",IF(Q1405&gt;=60,"HIGH",IF(Q1405&gt;=30,"MEDIUM","LOW")))</f>
        <v/>
      </c>
    </row>
    <row r="1406">
      <c r="A1406" t="n">
        <v>1405</v>
      </c>
      <c r="R1406">
        <f>IF(Q1406="","",IF(Q1406&gt;=60,"HIGH",IF(Q1406&gt;=30,"MEDIUM","LOW")))</f>
        <v/>
      </c>
    </row>
    <row r="1407">
      <c r="A1407" t="n">
        <v>1406</v>
      </c>
      <c r="R1407">
        <f>IF(Q1407="","",IF(Q1407&gt;=60,"HIGH",IF(Q1407&gt;=30,"MEDIUM","LOW")))</f>
        <v/>
      </c>
    </row>
    <row r="1408">
      <c r="A1408" t="n">
        <v>1407</v>
      </c>
      <c r="R1408">
        <f>IF(Q1408="","",IF(Q1408&gt;=60,"HIGH",IF(Q1408&gt;=30,"MEDIUM","LOW")))</f>
        <v/>
      </c>
    </row>
    <row r="1409">
      <c r="A1409" t="n">
        <v>1408</v>
      </c>
      <c r="R1409">
        <f>IF(Q1409="","",IF(Q1409&gt;=60,"HIGH",IF(Q1409&gt;=30,"MEDIUM","LOW")))</f>
        <v/>
      </c>
    </row>
    <row r="1410">
      <c r="A1410" t="n">
        <v>1409</v>
      </c>
      <c r="R1410">
        <f>IF(Q1410="","",IF(Q1410&gt;=60,"HIGH",IF(Q1410&gt;=30,"MEDIUM","LOW")))</f>
        <v/>
      </c>
    </row>
    <row r="1411">
      <c r="A1411" t="n">
        <v>1410</v>
      </c>
      <c r="R1411">
        <f>IF(Q1411="","",IF(Q1411&gt;=60,"HIGH",IF(Q1411&gt;=30,"MEDIUM","LOW")))</f>
        <v/>
      </c>
    </row>
    <row r="1412">
      <c r="A1412" t="n">
        <v>1411</v>
      </c>
      <c r="R1412">
        <f>IF(Q1412="","",IF(Q1412&gt;=60,"HIGH",IF(Q1412&gt;=30,"MEDIUM","LOW")))</f>
        <v/>
      </c>
    </row>
    <row r="1413">
      <c r="A1413" t="n">
        <v>1412</v>
      </c>
      <c r="R1413">
        <f>IF(Q1413="","",IF(Q1413&gt;=60,"HIGH",IF(Q1413&gt;=30,"MEDIUM","LOW")))</f>
        <v/>
      </c>
    </row>
    <row r="1414">
      <c r="A1414" t="n">
        <v>1413</v>
      </c>
      <c r="R1414">
        <f>IF(Q1414="","",IF(Q1414&gt;=60,"HIGH",IF(Q1414&gt;=30,"MEDIUM","LOW")))</f>
        <v/>
      </c>
    </row>
    <row r="1415">
      <c r="A1415" t="n">
        <v>1414</v>
      </c>
      <c r="R1415">
        <f>IF(Q1415="","",IF(Q1415&gt;=60,"HIGH",IF(Q1415&gt;=30,"MEDIUM","LOW")))</f>
        <v/>
      </c>
    </row>
    <row r="1416">
      <c r="A1416" t="n">
        <v>1415</v>
      </c>
      <c r="R1416">
        <f>IF(Q1416="","",IF(Q1416&gt;=60,"HIGH",IF(Q1416&gt;=30,"MEDIUM","LOW")))</f>
        <v/>
      </c>
    </row>
    <row r="1417">
      <c r="A1417" t="n">
        <v>1416</v>
      </c>
      <c r="R1417">
        <f>IF(Q1417="","",IF(Q1417&gt;=60,"HIGH",IF(Q1417&gt;=30,"MEDIUM","LOW")))</f>
        <v/>
      </c>
    </row>
    <row r="1418">
      <c r="A1418" t="n">
        <v>1417</v>
      </c>
      <c r="R1418">
        <f>IF(Q1418="","",IF(Q1418&gt;=60,"HIGH",IF(Q1418&gt;=30,"MEDIUM","LOW")))</f>
        <v/>
      </c>
    </row>
    <row r="1419">
      <c r="A1419" t="n">
        <v>1418</v>
      </c>
      <c r="R1419">
        <f>IF(Q1419="","",IF(Q1419&gt;=60,"HIGH",IF(Q1419&gt;=30,"MEDIUM","LOW")))</f>
        <v/>
      </c>
    </row>
    <row r="1420">
      <c r="A1420" t="n">
        <v>1419</v>
      </c>
      <c r="R1420">
        <f>IF(Q1420="","",IF(Q1420&gt;=60,"HIGH",IF(Q1420&gt;=30,"MEDIUM","LOW")))</f>
        <v/>
      </c>
    </row>
    <row r="1421">
      <c r="A1421" t="n">
        <v>1420</v>
      </c>
      <c r="R1421">
        <f>IF(Q1421="","",IF(Q1421&gt;=60,"HIGH",IF(Q1421&gt;=30,"MEDIUM","LOW")))</f>
        <v/>
      </c>
    </row>
    <row r="1422">
      <c r="A1422" t="n">
        <v>1421</v>
      </c>
      <c r="R1422">
        <f>IF(Q1422="","",IF(Q1422&gt;=60,"HIGH",IF(Q1422&gt;=30,"MEDIUM","LOW")))</f>
        <v/>
      </c>
    </row>
    <row r="1423">
      <c r="A1423" t="n">
        <v>1422</v>
      </c>
      <c r="R1423">
        <f>IF(Q1423="","",IF(Q1423&gt;=60,"HIGH",IF(Q1423&gt;=30,"MEDIUM","LOW")))</f>
        <v/>
      </c>
    </row>
    <row r="1424">
      <c r="A1424" t="n">
        <v>1423</v>
      </c>
      <c r="R1424">
        <f>IF(Q1424="","",IF(Q1424&gt;=60,"HIGH",IF(Q1424&gt;=30,"MEDIUM","LOW")))</f>
        <v/>
      </c>
    </row>
    <row r="1425">
      <c r="A1425" t="n">
        <v>1424</v>
      </c>
      <c r="R1425">
        <f>IF(Q1425="","",IF(Q1425&gt;=60,"HIGH",IF(Q1425&gt;=30,"MEDIUM","LOW")))</f>
        <v/>
      </c>
    </row>
    <row r="1426">
      <c r="A1426" t="n">
        <v>1425</v>
      </c>
      <c r="R1426">
        <f>IF(Q1426="","",IF(Q1426&gt;=60,"HIGH",IF(Q1426&gt;=30,"MEDIUM","LOW")))</f>
        <v/>
      </c>
    </row>
    <row r="1427">
      <c r="A1427" t="n">
        <v>1426</v>
      </c>
      <c r="R1427">
        <f>IF(Q1427="","",IF(Q1427&gt;=60,"HIGH",IF(Q1427&gt;=30,"MEDIUM","LOW")))</f>
        <v/>
      </c>
    </row>
    <row r="1428">
      <c r="A1428" t="n">
        <v>1427</v>
      </c>
      <c r="R1428">
        <f>IF(Q1428="","",IF(Q1428&gt;=60,"HIGH",IF(Q1428&gt;=30,"MEDIUM","LOW")))</f>
        <v/>
      </c>
    </row>
    <row r="1429">
      <c r="A1429" t="n">
        <v>1428</v>
      </c>
      <c r="R1429">
        <f>IF(Q1429="","",IF(Q1429&gt;=60,"HIGH",IF(Q1429&gt;=30,"MEDIUM","LOW")))</f>
        <v/>
      </c>
    </row>
    <row r="1430">
      <c r="A1430" t="n">
        <v>1429</v>
      </c>
      <c r="R1430">
        <f>IF(Q1430="","",IF(Q1430&gt;=60,"HIGH",IF(Q1430&gt;=30,"MEDIUM","LOW")))</f>
        <v/>
      </c>
    </row>
    <row r="1431">
      <c r="A1431" t="n">
        <v>1430</v>
      </c>
      <c r="R1431">
        <f>IF(Q1431="","",IF(Q1431&gt;=60,"HIGH",IF(Q1431&gt;=30,"MEDIUM","LOW")))</f>
        <v/>
      </c>
    </row>
    <row r="1432">
      <c r="A1432" t="n">
        <v>1431</v>
      </c>
      <c r="R1432">
        <f>IF(Q1432="","",IF(Q1432&gt;=60,"HIGH",IF(Q1432&gt;=30,"MEDIUM","LOW")))</f>
        <v/>
      </c>
    </row>
    <row r="1433">
      <c r="A1433" t="n">
        <v>1432</v>
      </c>
      <c r="R1433">
        <f>IF(Q1433="","",IF(Q1433&gt;=60,"HIGH",IF(Q1433&gt;=30,"MEDIUM","LOW")))</f>
        <v/>
      </c>
    </row>
    <row r="1434">
      <c r="A1434" t="n">
        <v>1433</v>
      </c>
      <c r="R1434">
        <f>IF(Q1434="","",IF(Q1434&gt;=60,"HIGH",IF(Q1434&gt;=30,"MEDIUM","LOW")))</f>
        <v/>
      </c>
    </row>
    <row r="1435">
      <c r="A1435" t="n">
        <v>1434</v>
      </c>
      <c r="R1435">
        <f>IF(Q1435="","",IF(Q1435&gt;=60,"HIGH",IF(Q1435&gt;=30,"MEDIUM","LOW")))</f>
        <v/>
      </c>
    </row>
    <row r="1436">
      <c r="A1436" t="n">
        <v>1435</v>
      </c>
      <c r="R1436">
        <f>IF(Q1436="","",IF(Q1436&gt;=60,"HIGH",IF(Q1436&gt;=30,"MEDIUM","LOW")))</f>
        <v/>
      </c>
    </row>
    <row r="1437">
      <c r="A1437" t="n">
        <v>1436</v>
      </c>
      <c r="R1437">
        <f>IF(Q1437="","",IF(Q1437&gt;=60,"HIGH",IF(Q1437&gt;=30,"MEDIUM","LOW")))</f>
        <v/>
      </c>
    </row>
    <row r="1438">
      <c r="A1438" t="n">
        <v>1437</v>
      </c>
      <c r="R1438">
        <f>IF(Q1438="","",IF(Q1438&gt;=60,"HIGH",IF(Q1438&gt;=30,"MEDIUM","LOW")))</f>
        <v/>
      </c>
    </row>
    <row r="1439">
      <c r="A1439" t="n">
        <v>1438</v>
      </c>
      <c r="R1439">
        <f>IF(Q1439="","",IF(Q1439&gt;=60,"HIGH",IF(Q1439&gt;=30,"MEDIUM","LOW")))</f>
        <v/>
      </c>
    </row>
    <row r="1440">
      <c r="A1440" t="n">
        <v>1439</v>
      </c>
      <c r="R1440">
        <f>IF(Q1440="","",IF(Q1440&gt;=60,"HIGH",IF(Q1440&gt;=30,"MEDIUM","LOW")))</f>
        <v/>
      </c>
    </row>
    <row r="1441">
      <c r="A1441" t="n">
        <v>1440</v>
      </c>
      <c r="R1441">
        <f>IF(Q1441="","",IF(Q1441&gt;=60,"HIGH",IF(Q1441&gt;=30,"MEDIUM","LOW")))</f>
        <v/>
      </c>
    </row>
    <row r="1442">
      <c r="A1442" t="n">
        <v>1441</v>
      </c>
      <c r="R1442">
        <f>IF(Q1442="","",IF(Q1442&gt;=60,"HIGH",IF(Q1442&gt;=30,"MEDIUM","LOW")))</f>
        <v/>
      </c>
    </row>
    <row r="1443">
      <c r="A1443" t="n">
        <v>1442</v>
      </c>
      <c r="R1443">
        <f>IF(Q1443="","",IF(Q1443&gt;=60,"HIGH",IF(Q1443&gt;=30,"MEDIUM","LOW")))</f>
        <v/>
      </c>
    </row>
    <row r="1444">
      <c r="A1444" t="n">
        <v>1443</v>
      </c>
      <c r="R1444">
        <f>IF(Q1444="","",IF(Q1444&gt;=60,"HIGH",IF(Q1444&gt;=30,"MEDIUM","LOW")))</f>
        <v/>
      </c>
    </row>
    <row r="1445">
      <c r="A1445" t="n">
        <v>1444</v>
      </c>
      <c r="R1445">
        <f>IF(Q1445="","",IF(Q1445&gt;=60,"HIGH",IF(Q1445&gt;=30,"MEDIUM","LOW")))</f>
        <v/>
      </c>
    </row>
    <row r="1446">
      <c r="A1446" t="n">
        <v>1445</v>
      </c>
      <c r="R1446">
        <f>IF(Q1446="","",IF(Q1446&gt;=60,"HIGH",IF(Q1446&gt;=30,"MEDIUM","LOW")))</f>
        <v/>
      </c>
    </row>
    <row r="1447">
      <c r="A1447" t="n">
        <v>1446</v>
      </c>
      <c r="R1447">
        <f>IF(Q1447="","",IF(Q1447&gt;=60,"HIGH",IF(Q1447&gt;=30,"MEDIUM","LOW")))</f>
        <v/>
      </c>
    </row>
    <row r="1448">
      <c r="A1448" t="n">
        <v>1447</v>
      </c>
      <c r="R1448">
        <f>IF(Q1448="","",IF(Q1448&gt;=60,"HIGH",IF(Q1448&gt;=30,"MEDIUM","LOW")))</f>
        <v/>
      </c>
    </row>
    <row r="1449">
      <c r="A1449" t="n">
        <v>1448</v>
      </c>
      <c r="R1449">
        <f>IF(Q1449="","",IF(Q1449&gt;=60,"HIGH",IF(Q1449&gt;=30,"MEDIUM","LOW")))</f>
        <v/>
      </c>
    </row>
    <row r="1450">
      <c r="A1450" t="n">
        <v>1449</v>
      </c>
      <c r="R1450">
        <f>IF(Q1450="","",IF(Q1450&gt;=60,"HIGH",IF(Q1450&gt;=30,"MEDIUM","LOW")))</f>
        <v/>
      </c>
    </row>
    <row r="1451">
      <c r="A1451" t="n">
        <v>1450</v>
      </c>
      <c r="R1451">
        <f>IF(Q1451="","",IF(Q1451&gt;=60,"HIGH",IF(Q1451&gt;=30,"MEDIUM","LOW")))</f>
        <v/>
      </c>
    </row>
    <row r="1452">
      <c r="A1452" t="n">
        <v>1451</v>
      </c>
      <c r="R1452">
        <f>IF(Q1452="","",IF(Q1452&gt;=60,"HIGH",IF(Q1452&gt;=30,"MEDIUM","LOW")))</f>
        <v/>
      </c>
    </row>
    <row r="1453">
      <c r="A1453" t="n">
        <v>1452</v>
      </c>
      <c r="R1453">
        <f>IF(Q1453="","",IF(Q1453&gt;=60,"HIGH",IF(Q1453&gt;=30,"MEDIUM","LOW")))</f>
        <v/>
      </c>
    </row>
    <row r="1454">
      <c r="A1454" t="n">
        <v>1453</v>
      </c>
      <c r="R1454">
        <f>IF(Q1454="","",IF(Q1454&gt;=60,"HIGH",IF(Q1454&gt;=30,"MEDIUM","LOW")))</f>
        <v/>
      </c>
    </row>
    <row r="1455">
      <c r="A1455" t="n">
        <v>1454</v>
      </c>
      <c r="R1455">
        <f>IF(Q1455="","",IF(Q1455&gt;=60,"HIGH",IF(Q1455&gt;=30,"MEDIUM","LOW")))</f>
        <v/>
      </c>
    </row>
    <row r="1456">
      <c r="A1456" t="n">
        <v>1455</v>
      </c>
      <c r="R1456">
        <f>IF(Q1456="","",IF(Q1456&gt;=60,"HIGH",IF(Q1456&gt;=30,"MEDIUM","LOW")))</f>
        <v/>
      </c>
    </row>
    <row r="1457">
      <c r="A1457" t="n">
        <v>1456</v>
      </c>
      <c r="R1457">
        <f>IF(Q1457="","",IF(Q1457&gt;=60,"HIGH",IF(Q1457&gt;=30,"MEDIUM","LOW")))</f>
        <v/>
      </c>
    </row>
    <row r="1458">
      <c r="A1458" t="n">
        <v>1457</v>
      </c>
      <c r="R1458">
        <f>IF(Q1458="","",IF(Q1458&gt;=60,"HIGH",IF(Q1458&gt;=30,"MEDIUM","LOW")))</f>
        <v/>
      </c>
    </row>
    <row r="1459">
      <c r="A1459" t="n">
        <v>1458</v>
      </c>
      <c r="R1459">
        <f>IF(Q1459="","",IF(Q1459&gt;=60,"HIGH",IF(Q1459&gt;=30,"MEDIUM","LOW")))</f>
        <v/>
      </c>
    </row>
    <row r="1460">
      <c r="A1460" t="n">
        <v>1459</v>
      </c>
      <c r="R1460">
        <f>IF(Q1460="","",IF(Q1460&gt;=60,"HIGH",IF(Q1460&gt;=30,"MEDIUM","LOW")))</f>
        <v/>
      </c>
    </row>
    <row r="1461">
      <c r="A1461" t="n">
        <v>1460</v>
      </c>
      <c r="R1461">
        <f>IF(Q1461="","",IF(Q1461&gt;=60,"HIGH",IF(Q1461&gt;=30,"MEDIUM","LOW")))</f>
        <v/>
      </c>
    </row>
    <row r="1462">
      <c r="A1462" t="n">
        <v>1461</v>
      </c>
      <c r="R1462">
        <f>IF(Q1462="","",IF(Q1462&gt;=60,"HIGH",IF(Q1462&gt;=30,"MEDIUM","LOW")))</f>
        <v/>
      </c>
    </row>
    <row r="1463">
      <c r="A1463" t="n">
        <v>1462</v>
      </c>
      <c r="R1463">
        <f>IF(Q1463="","",IF(Q1463&gt;=60,"HIGH",IF(Q1463&gt;=30,"MEDIUM","LOW")))</f>
        <v/>
      </c>
    </row>
    <row r="1464">
      <c r="A1464" t="n">
        <v>1463</v>
      </c>
      <c r="R1464">
        <f>IF(Q1464="","",IF(Q1464&gt;=60,"HIGH",IF(Q1464&gt;=30,"MEDIUM","LOW")))</f>
        <v/>
      </c>
    </row>
    <row r="1465">
      <c r="A1465" t="n">
        <v>1464</v>
      </c>
      <c r="R1465">
        <f>IF(Q1465="","",IF(Q1465&gt;=60,"HIGH",IF(Q1465&gt;=30,"MEDIUM","LOW")))</f>
        <v/>
      </c>
    </row>
    <row r="1466">
      <c r="A1466" t="n">
        <v>1465</v>
      </c>
      <c r="R1466">
        <f>IF(Q1466="","",IF(Q1466&gt;=60,"HIGH",IF(Q1466&gt;=30,"MEDIUM","LOW")))</f>
        <v/>
      </c>
    </row>
    <row r="1467">
      <c r="A1467" t="n">
        <v>1466</v>
      </c>
      <c r="R1467">
        <f>IF(Q1467="","",IF(Q1467&gt;=60,"HIGH",IF(Q1467&gt;=30,"MEDIUM","LOW")))</f>
        <v/>
      </c>
    </row>
    <row r="1468">
      <c r="A1468" t="n">
        <v>1467</v>
      </c>
      <c r="R1468">
        <f>IF(Q1468="","",IF(Q1468&gt;=60,"HIGH",IF(Q1468&gt;=30,"MEDIUM","LOW")))</f>
        <v/>
      </c>
    </row>
    <row r="1469">
      <c r="A1469" t="n">
        <v>1468</v>
      </c>
      <c r="R1469">
        <f>IF(Q1469="","",IF(Q1469&gt;=60,"HIGH",IF(Q1469&gt;=30,"MEDIUM","LOW")))</f>
        <v/>
      </c>
    </row>
    <row r="1470">
      <c r="A1470" t="n">
        <v>1469</v>
      </c>
      <c r="R1470">
        <f>IF(Q1470="","",IF(Q1470&gt;=60,"HIGH",IF(Q1470&gt;=30,"MEDIUM","LOW")))</f>
        <v/>
      </c>
    </row>
    <row r="1471">
      <c r="A1471" t="n">
        <v>1470</v>
      </c>
      <c r="R1471">
        <f>IF(Q1471="","",IF(Q1471&gt;=60,"HIGH",IF(Q1471&gt;=30,"MEDIUM","LOW")))</f>
        <v/>
      </c>
    </row>
    <row r="1472">
      <c r="A1472" t="n">
        <v>1471</v>
      </c>
      <c r="R1472">
        <f>IF(Q1472="","",IF(Q1472&gt;=60,"HIGH",IF(Q1472&gt;=30,"MEDIUM","LOW")))</f>
        <v/>
      </c>
    </row>
    <row r="1473">
      <c r="A1473" t="n">
        <v>1472</v>
      </c>
      <c r="R1473">
        <f>IF(Q1473="","",IF(Q1473&gt;=60,"HIGH",IF(Q1473&gt;=30,"MEDIUM","LOW")))</f>
        <v/>
      </c>
    </row>
    <row r="1474">
      <c r="A1474" t="n">
        <v>1473</v>
      </c>
      <c r="R1474">
        <f>IF(Q1474="","",IF(Q1474&gt;=60,"HIGH",IF(Q1474&gt;=30,"MEDIUM","LOW")))</f>
        <v/>
      </c>
    </row>
    <row r="1475">
      <c r="A1475" t="n">
        <v>1474</v>
      </c>
      <c r="R1475">
        <f>IF(Q1475="","",IF(Q1475&gt;=60,"HIGH",IF(Q1475&gt;=30,"MEDIUM","LOW")))</f>
        <v/>
      </c>
    </row>
    <row r="1476">
      <c r="A1476" t="n">
        <v>1475</v>
      </c>
      <c r="R1476">
        <f>IF(Q1476="","",IF(Q1476&gt;=60,"HIGH",IF(Q1476&gt;=30,"MEDIUM","LOW")))</f>
        <v/>
      </c>
    </row>
    <row r="1477">
      <c r="A1477" t="n">
        <v>1476</v>
      </c>
      <c r="R1477">
        <f>IF(Q1477="","",IF(Q1477&gt;=60,"HIGH",IF(Q1477&gt;=30,"MEDIUM","LOW")))</f>
        <v/>
      </c>
    </row>
    <row r="1478">
      <c r="A1478" t="n">
        <v>1477</v>
      </c>
      <c r="R1478">
        <f>IF(Q1478="","",IF(Q1478&gt;=60,"HIGH",IF(Q1478&gt;=30,"MEDIUM","LOW")))</f>
        <v/>
      </c>
    </row>
    <row r="1479">
      <c r="A1479" t="n">
        <v>1478</v>
      </c>
      <c r="R1479">
        <f>IF(Q1479="","",IF(Q1479&gt;=60,"HIGH",IF(Q1479&gt;=30,"MEDIUM","LOW")))</f>
        <v/>
      </c>
    </row>
    <row r="1480">
      <c r="A1480" t="n">
        <v>1479</v>
      </c>
      <c r="R1480">
        <f>IF(Q1480="","",IF(Q1480&gt;=60,"HIGH",IF(Q1480&gt;=30,"MEDIUM","LOW")))</f>
        <v/>
      </c>
    </row>
    <row r="1481">
      <c r="A1481" t="n">
        <v>1480</v>
      </c>
      <c r="R1481">
        <f>IF(Q1481="","",IF(Q1481&gt;=60,"HIGH",IF(Q1481&gt;=30,"MEDIUM","LOW")))</f>
        <v/>
      </c>
    </row>
    <row r="1482">
      <c r="A1482" t="n">
        <v>1481</v>
      </c>
      <c r="R1482">
        <f>IF(Q1482="","",IF(Q1482&gt;=60,"HIGH",IF(Q1482&gt;=30,"MEDIUM","LOW")))</f>
        <v/>
      </c>
    </row>
    <row r="1483">
      <c r="A1483" t="n">
        <v>1482</v>
      </c>
      <c r="R1483">
        <f>IF(Q1483="","",IF(Q1483&gt;=60,"HIGH",IF(Q1483&gt;=30,"MEDIUM","LOW")))</f>
        <v/>
      </c>
    </row>
    <row r="1484">
      <c r="A1484" t="n">
        <v>1483</v>
      </c>
      <c r="R1484">
        <f>IF(Q1484="","",IF(Q1484&gt;=60,"HIGH",IF(Q1484&gt;=30,"MEDIUM","LOW")))</f>
        <v/>
      </c>
    </row>
    <row r="1485">
      <c r="A1485" t="n">
        <v>1484</v>
      </c>
      <c r="R1485">
        <f>IF(Q1485="","",IF(Q1485&gt;=60,"HIGH",IF(Q1485&gt;=30,"MEDIUM","LOW")))</f>
        <v/>
      </c>
    </row>
    <row r="1486">
      <c r="A1486" t="n">
        <v>1485</v>
      </c>
      <c r="R1486">
        <f>IF(Q1486="","",IF(Q1486&gt;=60,"HIGH",IF(Q1486&gt;=30,"MEDIUM","LOW")))</f>
        <v/>
      </c>
    </row>
    <row r="1487">
      <c r="A1487" t="n">
        <v>1486</v>
      </c>
      <c r="R1487">
        <f>IF(Q1487="","",IF(Q1487&gt;=60,"HIGH",IF(Q1487&gt;=30,"MEDIUM","LOW")))</f>
        <v/>
      </c>
    </row>
    <row r="1488">
      <c r="A1488" t="n">
        <v>1487</v>
      </c>
      <c r="R1488">
        <f>IF(Q1488="","",IF(Q1488&gt;=60,"HIGH",IF(Q1488&gt;=30,"MEDIUM","LOW")))</f>
        <v/>
      </c>
    </row>
    <row r="1489">
      <c r="A1489" t="n">
        <v>1488</v>
      </c>
      <c r="R1489">
        <f>IF(Q1489="","",IF(Q1489&gt;=60,"HIGH",IF(Q1489&gt;=30,"MEDIUM","LOW")))</f>
        <v/>
      </c>
    </row>
    <row r="1490">
      <c r="A1490" t="n">
        <v>1489</v>
      </c>
      <c r="R1490">
        <f>IF(Q1490="","",IF(Q1490&gt;=60,"HIGH",IF(Q1490&gt;=30,"MEDIUM","LOW")))</f>
        <v/>
      </c>
    </row>
    <row r="1491">
      <c r="A1491" t="n">
        <v>1490</v>
      </c>
      <c r="R1491">
        <f>IF(Q1491="","",IF(Q1491&gt;=60,"HIGH",IF(Q1491&gt;=30,"MEDIUM","LOW")))</f>
        <v/>
      </c>
    </row>
    <row r="1492">
      <c r="A1492" t="n">
        <v>1491</v>
      </c>
      <c r="R1492">
        <f>IF(Q1492="","",IF(Q1492&gt;=60,"HIGH",IF(Q1492&gt;=30,"MEDIUM","LOW")))</f>
        <v/>
      </c>
    </row>
    <row r="1493">
      <c r="A1493" t="n">
        <v>1492</v>
      </c>
      <c r="R1493">
        <f>IF(Q1493="","",IF(Q1493&gt;=60,"HIGH",IF(Q1493&gt;=30,"MEDIUM","LOW")))</f>
        <v/>
      </c>
    </row>
    <row r="1494">
      <c r="A1494" t="n">
        <v>1493</v>
      </c>
      <c r="R1494">
        <f>IF(Q1494="","",IF(Q1494&gt;=60,"HIGH",IF(Q1494&gt;=30,"MEDIUM","LOW")))</f>
        <v/>
      </c>
    </row>
    <row r="1495">
      <c r="A1495" t="n">
        <v>1494</v>
      </c>
      <c r="R1495">
        <f>IF(Q1495="","",IF(Q1495&gt;=60,"HIGH",IF(Q1495&gt;=30,"MEDIUM","LOW")))</f>
        <v/>
      </c>
    </row>
    <row r="1496">
      <c r="A1496" t="n">
        <v>1495</v>
      </c>
      <c r="R1496">
        <f>IF(Q1496="","",IF(Q1496&gt;=60,"HIGH",IF(Q1496&gt;=30,"MEDIUM","LOW")))</f>
        <v/>
      </c>
    </row>
    <row r="1497">
      <c r="A1497" t="n">
        <v>1496</v>
      </c>
      <c r="R1497">
        <f>IF(Q1497="","",IF(Q1497&gt;=60,"HIGH",IF(Q1497&gt;=30,"MEDIUM","LOW")))</f>
        <v/>
      </c>
    </row>
    <row r="1498">
      <c r="A1498" t="n">
        <v>1497</v>
      </c>
      <c r="R1498">
        <f>IF(Q1498="","",IF(Q1498&gt;=60,"HIGH",IF(Q1498&gt;=30,"MEDIUM","LOW")))</f>
        <v/>
      </c>
    </row>
    <row r="1499">
      <c r="A1499" t="n">
        <v>1498</v>
      </c>
      <c r="R1499">
        <f>IF(Q1499="","",IF(Q1499&gt;=60,"HIGH",IF(Q1499&gt;=30,"MEDIUM","LOW")))</f>
        <v/>
      </c>
    </row>
    <row r="1500">
      <c r="A1500" t="n">
        <v>1499</v>
      </c>
      <c r="R1500">
        <f>IF(Q1500="","",IF(Q1500&gt;=60,"HIGH",IF(Q1500&gt;=30,"MEDIUM","LOW")))</f>
        <v/>
      </c>
    </row>
    <row r="1501">
      <c r="A1501" t="n">
        <v>1500</v>
      </c>
      <c r="R1501">
        <f>IF(Q1501="","",IF(Q1501&gt;=60,"HIGH",IF(Q1501&gt;=30,"MEDIUM","LOW")))</f>
        <v/>
      </c>
    </row>
    <row r="1502">
      <c r="A1502" t="n">
        <v>1501</v>
      </c>
      <c r="R1502">
        <f>IF(Q1502="","",IF(Q1502&gt;=60,"HIGH",IF(Q1502&gt;=30,"MEDIUM","LOW")))</f>
        <v/>
      </c>
    </row>
    <row r="1503">
      <c r="A1503" t="n">
        <v>1502</v>
      </c>
      <c r="R1503">
        <f>IF(Q1503="","",IF(Q1503&gt;=60,"HIGH",IF(Q1503&gt;=30,"MEDIUM","LOW")))</f>
        <v/>
      </c>
    </row>
    <row r="1504">
      <c r="A1504" t="n">
        <v>1503</v>
      </c>
      <c r="R1504">
        <f>IF(Q1504="","",IF(Q1504&gt;=60,"HIGH",IF(Q1504&gt;=30,"MEDIUM","LOW")))</f>
        <v/>
      </c>
    </row>
    <row r="1505">
      <c r="A1505" t="n">
        <v>1504</v>
      </c>
      <c r="R1505">
        <f>IF(Q1505="","",IF(Q1505&gt;=60,"HIGH",IF(Q1505&gt;=30,"MEDIUM","LOW")))</f>
        <v/>
      </c>
    </row>
    <row r="1506">
      <c r="A1506" t="n">
        <v>1505</v>
      </c>
      <c r="R1506">
        <f>IF(Q1506="","",IF(Q1506&gt;=60,"HIGH",IF(Q1506&gt;=30,"MEDIUM","LOW")))</f>
        <v/>
      </c>
    </row>
    <row r="1507">
      <c r="A1507" t="n">
        <v>1506</v>
      </c>
      <c r="R1507">
        <f>IF(Q1507="","",IF(Q1507&gt;=60,"HIGH",IF(Q1507&gt;=30,"MEDIUM","LOW")))</f>
        <v/>
      </c>
    </row>
    <row r="1508">
      <c r="A1508" t="n">
        <v>1507</v>
      </c>
      <c r="R1508">
        <f>IF(Q1508="","",IF(Q1508&gt;=60,"HIGH",IF(Q1508&gt;=30,"MEDIUM","LOW")))</f>
        <v/>
      </c>
    </row>
    <row r="1509">
      <c r="A1509" t="n">
        <v>1508</v>
      </c>
      <c r="R1509">
        <f>IF(Q1509="","",IF(Q1509&gt;=60,"HIGH",IF(Q1509&gt;=30,"MEDIUM","LOW")))</f>
        <v/>
      </c>
    </row>
    <row r="1510">
      <c r="A1510" t="n">
        <v>1509</v>
      </c>
      <c r="R1510">
        <f>IF(Q1510="","",IF(Q1510&gt;=60,"HIGH",IF(Q1510&gt;=30,"MEDIUM","LOW")))</f>
        <v/>
      </c>
    </row>
    <row r="1511">
      <c r="A1511" t="n">
        <v>1510</v>
      </c>
      <c r="R1511">
        <f>IF(Q1511="","",IF(Q1511&gt;=60,"HIGH",IF(Q1511&gt;=30,"MEDIUM","LOW")))</f>
        <v/>
      </c>
    </row>
    <row r="1512">
      <c r="A1512" t="n">
        <v>1511</v>
      </c>
      <c r="R1512">
        <f>IF(Q1512="","",IF(Q1512&gt;=60,"HIGH",IF(Q1512&gt;=30,"MEDIUM","LOW")))</f>
        <v/>
      </c>
    </row>
    <row r="1513">
      <c r="A1513" t="n">
        <v>1512</v>
      </c>
      <c r="R1513">
        <f>IF(Q1513="","",IF(Q1513&gt;=60,"HIGH",IF(Q1513&gt;=30,"MEDIUM","LOW")))</f>
        <v/>
      </c>
    </row>
    <row r="1514">
      <c r="A1514" t="n">
        <v>1513</v>
      </c>
      <c r="R1514">
        <f>IF(Q1514="","",IF(Q1514&gt;=60,"HIGH",IF(Q1514&gt;=30,"MEDIUM","LOW")))</f>
        <v/>
      </c>
    </row>
    <row r="1515">
      <c r="A1515" t="n">
        <v>1514</v>
      </c>
      <c r="R1515">
        <f>IF(Q1515="","",IF(Q1515&gt;=60,"HIGH",IF(Q1515&gt;=30,"MEDIUM","LOW")))</f>
        <v/>
      </c>
    </row>
    <row r="1516">
      <c r="A1516" t="n">
        <v>1515</v>
      </c>
      <c r="R1516">
        <f>IF(Q1516="","",IF(Q1516&gt;=60,"HIGH",IF(Q1516&gt;=30,"MEDIUM","LOW")))</f>
        <v/>
      </c>
    </row>
    <row r="1517">
      <c r="A1517" t="n">
        <v>1516</v>
      </c>
      <c r="R1517">
        <f>IF(Q1517="","",IF(Q1517&gt;=60,"HIGH",IF(Q1517&gt;=30,"MEDIUM","LOW")))</f>
        <v/>
      </c>
    </row>
    <row r="1518">
      <c r="A1518" t="n">
        <v>1517</v>
      </c>
      <c r="R1518">
        <f>IF(Q1518="","",IF(Q1518&gt;=60,"HIGH",IF(Q1518&gt;=30,"MEDIUM","LOW")))</f>
        <v/>
      </c>
    </row>
    <row r="1519">
      <c r="A1519" t="n">
        <v>1518</v>
      </c>
      <c r="R1519">
        <f>IF(Q1519="","",IF(Q1519&gt;=60,"HIGH",IF(Q1519&gt;=30,"MEDIUM","LOW")))</f>
        <v/>
      </c>
    </row>
    <row r="1520">
      <c r="A1520" t="n">
        <v>1519</v>
      </c>
      <c r="R1520">
        <f>IF(Q1520="","",IF(Q1520&gt;=60,"HIGH",IF(Q1520&gt;=30,"MEDIUM","LOW")))</f>
        <v/>
      </c>
    </row>
    <row r="1521">
      <c r="A1521" t="n">
        <v>1520</v>
      </c>
      <c r="R1521">
        <f>IF(Q1521="","",IF(Q1521&gt;=60,"HIGH",IF(Q1521&gt;=30,"MEDIUM","LOW")))</f>
        <v/>
      </c>
    </row>
    <row r="1522">
      <c r="A1522" t="n">
        <v>1521</v>
      </c>
      <c r="R1522">
        <f>IF(Q1522="","",IF(Q1522&gt;=60,"HIGH",IF(Q1522&gt;=30,"MEDIUM","LOW")))</f>
        <v/>
      </c>
    </row>
    <row r="1523">
      <c r="A1523" t="n">
        <v>1522</v>
      </c>
      <c r="R1523">
        <f>IF(Q1523="","",IF(Q1523&gt;=60,"HIGH",IF(Q1523&gt;=30,"MEDIUM","LOW")))</f>
        <v/>
      </c>
    </row>
    <row r="1524">
      <c r="A1524" t="n">
        <v>1523</v>
      </c>
      <c r="R1524">
        <f>IF(Q1524="","",IF(Q1524&gt;=60,"HIGH",IF(Q1524&gt;=30,"MEDIUM","LOW")))</f>
        <v/>
      </c>
    </row>
    <row r="1525">
      <c r="A1525" t="n">
        <v>1524</v>
      </c>
      <c r="R1525">
        <f>IF(Q1525="","",IF(Q1525&gt;=60,"HIGH",IF(Q1525&gt;=30,"MEDIUM","LOW")))</f>
        <v/>
      </c>
    </row>
    <row r="1526">
      <c r="A1526" t="n">
        <v>1525</v>
      </c>
      <c r="R1526">
        <f>IF(Q1526="","",IF(Q1526&gt;=60,"HIGH",IF(Q1526&gt;=30,"MEDIUM","LOW")))</f>
        <v/>
      </c>
    </row>
    <row r="1527">
      <c r="A1527" t="n">
        <v>1526</v>
      </c>
      <c r="R1527">
        <f>IF(Q1527="","",IF(Q1527&gt;=60,"HIGH",IF(Q1527&gt;=30,"MEDIUM","LOW")))</f>
        <v/>
      </c>
    </row>
    <row r="1528">
      <c r="A1528" t="n">
        <v>1527</v>
      </c>
      <c r="R1528">
        <f>IF(Q1528="","",IF(Q1528&gt;=60,"HIGH",IF(Q1528&gt;=30,"MEDIUM","LOW")))</f>
        <v/>
      </c>
    </row>
    <row r="1529">
      <c r="A1529" t="n">
        <v>1528</v>
      </c>
      <c r="R1529">
        <f>IF(Q1529="","",IF(Q1529&gt;=60,"HIGH",IF(Q1529&gt;=30,"MEDIUM","LOW")))</f>
        <v/>
      </c>
    </row>
    <row r="1530">
      <c r="A1530" t="n">
        <v>1529</v>
      </c>
      <c r="R1530">
        <f>IF(Q1530="","",IF(Q1530&gt;=60,"HIGH",IF(Q1530&gt;=30,"MEDIUM","LOW")))</f>
        <v/>
      </c>
    </row>
    <row r="1531">
      <c r="A1531" t="n">
        <v>1530</v>
      </c>
      <c r="R1531">
        <f>IF(Q1531="","",IF(Q1531&gt;=60,"HIGH",IF(Q1531&gt;=30,"MEDIUM","LOW")))</f>
        <v/>
      </c>
    </row>
    <row r="1532">
      <c r="A1532" t="n">
        <v>1531</v>
      </c>
      <c r="R1532">
        <f>IF(Q1532="","",IF(Q1532&gt;=60,"HIGH",IF(Q1532&gt;=30,"MEDIUM","LOW")))</f>
        <v/>
      </c>
    </row>
    <row r="1533">
      <c r="A1533" t="n">
        <v>1532</v>
      </c>
      <c r="R1533">
        <f>IF(Q1533="","",IF(Q1533&gt;=60,"HIGH",IF(Q1533&gt;=30,"MEDIUM","LOW")))</f>
        <v/>
      </c>
    </row>
    <row r="1534">
      <c r="A1534" t="n">
        <v>1533</v>
      </c>
      <c r="R1534">
        <f>IF(Q1534="","",IF(Q1534&gt;=60,"HIGH",IF(Q1534&gt;=30,"MEDIUM","LOW")))</f>
        <v/>
      </c>
    </row>
    <row r="1535">
      <c r="A1535" t="n">
        <v>1534</v>
      </c>
      <c r="R1535">
        <f>IF(Q1535="","",IF(Q1535&gt;=60,"HIGH",IF(Q1535&gt;=30,"MEDIUM","LOW")))</f>
        <v/>
      </c>
    </row>
    <row r="1536">
      <c r="A1536" t="n">
        <v>1535</v>
      </c>
      <c r="R1536">
        <f>IF(Q1536="","",IF(Q1536&gt;=60,"HIGH",IF(Q1536&gt;=30,"MEDIUM","LOW")))</f>
        <v/>
      </c>
    </row>
    <row r="1537">
      <c r="A1537" t="n">
        <v>1536</v>
      </c>
      <c r="R1537">
        <f>IF(Q1537="","",IF(Q1537&gt;=60,"HIGH",IF(Q1537&gt;=30,"MEDIUM","LOW")))</f>
        <v/>
      </c>
    </row>
    <row r="1538">
      <c r="A1538" t="n">
        <v>1537</v>
      </c>
      <c r="R1538">
        <f>IF(Q1538="","",IF(Q1538&gt;=60,"HIGH",IF(Q1538&gt;=30,"MEDIUM","LOW")))</f>
        <v/>
      </c>
    </row>
    <row r="1539">
      <c r="A1539" t="n">
        <v>1538</v>
      </c>
      <c r="R1539">
        <f>IF(Q1539="","",IF(Q1539&gt;=60,"HIGH",IF(Q1539&gt;=30,"MEDIUM","LOW")))</f>
        <v/>
      </c>
    </row>
    <row r="1540">
      <c r="A1540" t="n">
        <v>1539</v>
      </c>
      <c r="R1540">
        <f>IF(Q1540="","",IF(Q1540&gt;=60,"HIGH",IF(Q1540&gt;=30,"MEDIUM","LOW")))</f>
        <v/>
      </c>
    </row>
    <row r="1541">
      <c r="A1541" t="n">
        <v>1540</v>
      </c>
      <c r="R1541">
        <f>IF(Q1541="","",IF(Q1541&gt;=60,"HIGH",IF(Q1541&gt;=30,"MEDIUM","LOW")))</f>
        <v/>
      </c>
    </row>
    <row r="1542">
      <c r="A1542" t="n">
        <v>1541</v>
      </c>
      <c r="R1542">
        <f>IF(Q1542="","",IF(Q1542&gt;=60,"HIGH",IF(Q1542&gt;=30,"MEDIUM","LOW")))</f>
        <v/>
      </c>
    </row>
    <row r="1543">
      <c r="A1543" t="n">
        <v>1542</v>
      </c>
      <c r="R1543">
        <f>IF(Q1543="","",IF(Q1543&gt;=60,"HIGH",IF(Q1543&gt;=30,"MEDIUM","LOW")))</f>
        <v/>
      </c>
    </row>
    <row r="1544">
      <c r="A1544" t="n">
        <v>1543</v>
      </c>
      <c r="R1544">
        <f>IF(Q1544="","",IF(Q1544&gt;=60,"HIGH",IF(Q1544&gt;=30,"MEDIUM","LOW")))</f>
        <v/>
      </c>
    </row>
    <row r="1545">
      <c r="A1545" t="n">
        <v>1544</v>
      </c>
      <c r="R1545">
        <f>IF(Q1545="","",IF(Q1545&gt;=60,"HIGH",IF(Q1545&gt;=30,"MEDIUM","LOW")))</f>
        <v/>
      </c>
    </row>
    <row r="1546">
      <c r="A1546" t="n">
        <v>1545</v>
      </c>
      <c r="R1546">
        <f>IF(Q1546="","",IF(Q1546&gt;=60,"HIGH",IF(Q1546&gt;=30,"MEDIUM","LOW")))</f>
        <v/>
      </c>
    </row>
    <row r="1547">
      <c r="A1547" t="n">
        <v>1546</v>
      </c>
      <c r="R1547">
        <f>IF(Q1547="","",IF(Q1547&gt;=60,"HIGH",IF(Q1547&gt;=30,"MEDIUM","LOW")))</f>
        <v/>
      </c>
    </row>
    <row r="1548">
      <c r="A1548" t="n">
        <v>1547</v>
      </c>
      <c r="R1548">
        <f>IF(Q1548="","",IF(Q1548&gt;=60,"HIGH",IF(Q1548&gt;=30,"MEDIUM","LOW")))</f>
        <v/>
      </c>
    </row>
    <row r="1549">
      <c r="A1549" t="n">
        <v>1548</v>
      </c>
      <c r="R1549">
        <f>IF(Q1549="","",IF(Q1549&gt;=60,"HIGH",IF(Q1549&gt;=30,"MEDIUM","LOW")))</f>
        <v/>
      </c>
    </row>
    <row r="1550">
      <c r="A1550" t="n">
        <v>1549</v>
      </c>
      <c r="R1550">
        <f>IF(Q1550="","",IF(Q1550&gt;=60,"HIGH",IF(Q1550&gt;=30,"MEDIUM","LOW")))</f>
        <v/>
      </c>
    </row>
    <row r="1551">
      <c r="A1551" t="n">
        <v>1550</v>
      </c>
      <c r="R1551">
        <f>IF(Q1551="","",IF(Q1551&gt;=60,"HIGH",IF(Q1551&gt;=30,"MEDIUM","LOW")))</f>
        <v/>
      </c>
    </row>
    <row r="1552">
      <c r="A1552" t="n">
        <v>1551</v>
      </c>
      <c r="R1552">
        <f>IF(Q1552="","",IF(Q1552&gt;=60,"HIGH",IF(Q1552&gt;=30,"MEDIUM","LOW")))</f>
        <v/>
      </c>
    </row>
    <row r="1553">
      <c r="A1553" t="n">
        <v>1552</v>
      </c>
      <c r="R1553">
        <f>IF(Q1553="","",IF(Q1553&gt;=60,"HIGH",IF(Q1553&gt;=30,"MEDIUM","LOW")))</f>
        <v/>
      </c>
    </row>
    <row r="1554">
      <c r="A1554" t="n">
        <v>1553</v>
      </c>
      <c r="R1554">
        <f>IF(Q1554="","",IF(Q1554&gt;=60,"HIGH",IF(Q1554&gt;=30,"MEDIUM","LOW")))</f>
        <v/>
      </c>
    </row>
    <row r="1555">
      <c r="A1555" t="n">
        <v>1554</v>
      </c>
      <c r="R1555">
        <f>IF(Q1555="","",IF(Q1555&gt;=60,"HIGH",IF(Q1555&gt;=30,"MEDIUM","LOW")))</f>
        <v/>
      </c>
    </row>
    <row r="1556">
      <c r="A1556" t="n">
        <v>1555</v>
      </c>
      <c r="R1556">
        <f>IF(Q1556="","",IF(Q1556&gt;=60,"HIGH",IF(Q1556&gt;=30,"MEDIUM","LOW")))</f>
        <v/>
      </c>
    </row>
    <row r="1557">
      <c r="A1557" t="n">
        <v>1556</v>
      </c>
      <c r="R1557">
        <f>IF(Q1557="","",IF(Q1557&gt;=60,"HIGH",IF(Q1557&gt;=30,"MEDIUM","LOW")))</f>
        <v/>
      </c>
    </row>
    <row r="1558">
      <c r="A1558" t="n">
        <v>1557</v>
      </c>
      <c r="R1558">
        <f>IF(Q1558="","",IF(Q1558&gt;=60,"HIGH",IF(Q1558&gt;=30,"MEDIUM","LOW")))</f>
        <v/>
      </c>
    </row>
    <row r="1559">
      <c r="A1559" t="n">
        <v>1558</v>
      </c>
      <c r="R1559">
        <f>IF(Q1559="","",IF(Q1559&gt;=60,"HIGH",IF(Q1559&gt;=30,"MEDIUM","LOW")))</f>
        <v/>
      </c>
    </row>
    <row r="1560">
      <c r="A1560" t="n">
        <v>1559</v>
      </c>
      <c r="R1560">
        <f>IF(Q1560="","",IF(Q1560&gt;=60,"HIGH",IF(Q1560&gt;=30,"MEDIUM","LOW")))</f>
        <v/>
      </c>
    </row>
    <row r="1561">
      <c r="A1561" t="n">
        <v>1560</v>
      </c>
      <c r="R1561">
        <f>IF(Q1561="","",IF(Q1561&gt;=60,"HIGH",IF(Q1561&gt;=30,"MEDIUM","LOW")))</f>
        <v/>
      </c>
    </row>
    <row r="1562">
      <c r="A1562" t="n">
        <v>1561</v>
      </c>
      <c r="R1562">
        <f>IF(Q1562="","",IF(Q1562&gt;=60,"HIGH",IF(Q1562&gt;=30,"MEDIUM","LOW")))</f>
        <v/>
      </c>
    </row>
    <row r="1563">
      <c r="A1563" t="n">
        <v>1562</v>
      </c>
      <c r="R1563">
        <f>IF(Q1563="","",IF(Q1563&gt;=60,"HIGH",IF(Q1563&gt;=30,"MEDIUM","LOW")))</f>
        <v/>
      </c>
    </row>
    <row r="1564">
      <c r="A1564" t="n">
        <v>1563</v>
      </c>
      <c r="R1564">
        <f>IF(Q1564="","",IF(Q1564&gt;=60,"HIGH",IF(Q1564&gt;=30,"MEDIUM","LOW")))</f>
        <v/>
      </c>
    </row>
    <row r="1565">
      <c r="A1565" t="n">
        <v>1564</v>
      </c>
      <c r="R1565">
        <f>IF(Q1565="","",IF(Q1565&gt;=60,"HIGH",IF(Q1565&gt;=30,"MEDIUM","LOW")))</f>
        <v/>
      </c>
    </row>
    <row r="1566">
      <c r="A1566" t="n">
        <v>1565</v>
      </c>
      <c r="R1566">
        <f>IF(Q1566="","",IF(Q1566&gt;=60,"HIGH",IF(Q1566&gt;=30,"MEDIUM","LOW")))</f>
        <v/>
      </c>
    </row>
    <row r="1567">
      <c r="A1567" t="n">
        <v>1566</v>
      </c>
      <c r="R1567">
        <f>IF(Q1567="","",IF(Q1567&gt;=60,"HIGH",IF(Q1567&gt;=30,"MEDIUM","LOW")))</f>
        <v/>
      </c>
    </row>
    <row r="1568">
      <c r="A1568" t="n">
        <v>1567</v>
      </c>
      <c r="R1568">
        <f>IF(Q1568="","",IF(Q1568&gt;=60,"HIGH",IF(Q1568&gt;=30,"MEDIUM","LOW")))</f>
        <v/>
      </c>
    </row>
    <row r="1569">
      <c r="A1569" t="n">
        <v>1568</v>
      </c>
      <c r="R1569">
        <f>IF(Q1569="","",IF(Q1569&gt;=60,"HIGH",IF(Q1569&gt;=30,"MEDIUM","LOW")))</f>
        <v/>
      </c>
    </row>
    <row r="1570">
      <c r="A1570" t="n">
        <v>1569</v>
      </c>
      <c r="R1570">
        <f>IF(Q1570="","",IF(Q1570&gt;=60,"HIGH",IF(Q1570&gt;=30,"MEDIUM","LOW")))</f>
        <v/>
      </c>
    </row>
    <row r="1571">
      <c r="A1571" t="n">
        <v>1570</v>
      </c>
      <c r="R1571">
        <f>IF(Q1571="","",IF(Q1571&gt;=60,"HIGH",IF(Q1571&gt;=30,"MEDIUM","LOW")))</f>
        <v/>
      </c>
    </row>
    <row r="1572">
      <c r="A1572" t="n">
        <v>1571</v>
      </c>
      <c r="R1572">
        <f>IF(Q1572="","",IF(Q1572&gt;=60,"HIGH",IF(Q1572&gt;=30,"MEDIUM","LOW")))</f>
        <v/>
      </c>
    </row>
    <row r="1573">
      <c r="A1573" t="n">
        <v>1572</v>
      </c>
      <c r="R1573">
        <f>IF(Q1573="","",IF(Q1573&gt;=60,"HIGH",IF(Q1573&gt;=30,"MEDIUM","LOW")))</f>
        <v/>
      </c>
    </row>
    <row r="1574">
      <c r="A1574" t="n">
        <v>1573</v>
      </c>
      <c r="R1574">
        <f>IF(Q1574="","",IF(Q1574&gt;=60,"HIGH",IF(Q1574&gt;=30,"MEDIUM","LOW")))</f>
        <v/>
      </c>
    </row>
    <row r="1575">
      <c r="A1575" t="n">
        <v>1574</v>
      </c>
      <c r="R1575">
        <f>IF(Q1575="","",IF(Q1575&gt;=60,"HIGH",IF(Q1575&gt;=30,"MEDIUM","LOW")))</f>
        <v/>
      </c>
    </row>
    <row r="1576">
      <c r="A1576" t="n">
        <v>1575</v>
      </c>
      <c r="R1576">
        <f>IF(Q1576="","",IF(Q1576&gt;=60,"HIGH",IF(Q1576&gt;=30,"MEDIUM","LOW")))</f>
        <v/>
      </c>
    </row>
    <row r="1577">
      <c r="A1577" t="n">
        <v>1576</v>
      </c>
      <c r="R1577">
        <f>IF(Q1577="","",IF(Q1577&gt;=60,"HIGH",IF(Q1577&gt;=30,"MEDIUM","LOW")))</f>
        <v/>
      </c>
    </row>
    <row r="1578">
      <c r="A1578" t="n">
        <v>1577</v>
      </c>
      <c r="R1578">
        <f>IF(Q1578="","",IF(Q1578&gt;=60,"HIGH",IF(Q1578&gt;=30,"MEDIUM","LOW")))</f>
        <v/>
      </c>
    </row>
    <row r="1579">
      <c r="A1579" t="n">
        <v>1578</v>
      </c>
      <c r="R1579">
        <f>IF(Q1579="","",IF(Q1579&gt;=60,"HIGH",IF(Q1579&gt;=30,"MEDIUM","LOW")))</f>
        <v/>
      </c>
    </row>
    <row r="1580">
      <c r="A1580" t="n">
        <v>1579</v>
      </c>
      <c r="R1580">
        <f>IF(Q1580="","",IF(Q1580&gt;=60,"HIGH",IF(Q1580&gt;=30,"MEDIUM","LOW")))</f>
        <v/>
      </c>
    </row>
    <row r="1581">
      <c r="A1581" t="n">
        <v>1580</v>
      </c>
      <c r="R1581">
        <f>IF(Q1581="","",IF(Q1581&gt;=60,"HIGH",IF(Q1581&gt;=30,"MEDIUM","LOW")))</f>
        <v/>
      </c>
    </row>
    <row r="1582">
      <c r="A1582" t="n">
        <v>1581</v>
      </c>
      <c r="R1582">
        <f>IF(Q1582="","",IF(Q1582&gt;=60,"HIGH",IF(Q1582&gt;=30,"MEDIUM","LOW")))</f>
        <v/>
      </c>
    </row>
    <row r="1583">
      <c r="A1583" t="n">
        <v>1582</v>
      </c>
      <c r="R1583">
        <f>IF(Q1583="","",IF(Q1583&gt;=60,"HIGH",IF(Q1583&gt;=30,"MEDIUM","LOW")))</f>
        <v/>
      </c>
    </row>
    <row r="1584">
      <c r="A1584" t="n">
        <v>1583</v>
      </c>
      <c r="R1584">
        <f>IF(Q1584="","",IF(Q1584&gt;=60,"HIGH",IF(Q1584&gt;=30,"MEDIUM","LOW")))</f>
        <v/>
      </c>
    </row>
    <row r="1585">
      <c r="A1585" t="n">
        <v>1584</v>
      </c>
      <c r="R1585">
        <f>IF(Q1585="","",IF(Q1585&gt;=60,"HIGH",IF(Q1585&gt;=30,"MEDIUM","LOW")))</f>
        <v/>
      </c>
    </row>
    <row r="1586">
      <c r="A1586" t="n">
        <v>1585</v>
      </c>
      <c r="R1586">
        <f>IF(Q1586="","",IF(Q1586&gt;=60,"HIGH",IF(Q1586&gt;=30,"MEDIUM","LOW")))</f>
        <v/>
      </c>
    </row>
    <row r="1587">
      <c r="A1587" t="n">
        <v>1586</v>
      </c>
      <c r="R1587">
        <f>IF(Q1587="","",IF(Q1587&gt;=60,"HIGH",IF(Q1587&gt;=30,"MEDIUM","LOW")))</f>
        <v/>
      </c>
    </row>
    <row r="1588">
      <c r="A1588" t="n">
        <v>1587</v>
      </c>
      <c r="R1588">
        <f>IF(Q1588="","",IF(Q1588&gt;=60,"HIGH",IF(Q1588&gt;=30,"MEDIUM","LOW")))</f>
        <v/>
      </c>
    </row>
    <row r="1589">
      <c r="A1589" t="n">
        <v>1588</v>
      </c>
      <c r="R1589">
        <f>IF(Q1589="","",IF(Q1589&gt;=60,"HIGH",IF(Q1589&gt;=30,"MEDIUM","LOW")))</f>
        <v/>
      </c>
    </row>
    <row r="1590">
      <c r="A1590" t="n">
        <v>1589</v>
      </c>
      <c r="R1590">
        <f>IF(Q1590="","",IF(Q1590&gt;=60,"HIGH",IF(Q1590&gt;=30,"MEDIUM","LOW")))</f>
        <v/>
      </c>
    </row>
    <row r="1591">
      <c r="A1591" t="n">
        <v>1590</v>
      </c>
      <c r="R1591">
        <f>IF(Q1591="","",IF(Q1591&gt;=60,"HIGH",IF(Q1591&gt;=30,"MEDIUM","LOW")))</f>
        <v/>
      </c>
    </row>
    <row r="1592">
      <c r="A1592" t="n">
        <v>1591</v>
      </c>
      <c r="R1592">
        <f>IF(Q1592="","",IF(Q1592&gt;=60,"HIGH",IF(Q1592&gt;=30,"MEDIUM","LOW")))</f>
        <v/>
      </c>
    </row>
    <row r="1593">
      <c r="A1593" t="n">
        <v>1592</v>
      </c>
      <c r="R1593">
        <f>IF(Q1593="","",IF(Q1593&gt;=60,"HIGH",IF(Q1593&gt;=30,"MEDIUM","LOW")))</f>
        <v/>
      </c>
    </row>
    <row r="1594">
      <c r="A1594" t="n">
        <v>1593</v>
      </c>
      <c r="R1594">
        <f>IF(Q1594="","",IF(Q1594&gt;=60,"HIGH",IF(Q1594&gt;=30,"MEDIUM","LOW")))</f>
        <v/>
      </c>
    </row>
    <row r="1595">
      <c r="A1595" t="n">
        <v>1594</v>
      </c>
      <c r="R1595">
        <f>IF(Q1595="","",IF(Q1595&gt;=60,"HIGH",IF(Q1595&gt;=30,"MEDIUM","LOW")))</f>
        <v/>
      </c>
    </row>
    <row r="1596">
      <c r="A1596" t="n">
        <v>1595</v>
      </c>
      <c r="R1596">
        <f>IF(Q1596="","",IF(Q1596&gt;=60,"HIGH",IF(Q1596&gt;=30,"MEDIUM","LOW")))</f>
        <v/>
      </c>
    </row>
    <row r="1597">
      <c r="A1597" t="n">
        <v>1596</v>
      </c>
      <c r="R1597">
        <f>IF(Q1597="","",IF(Q1597&gt;=60,"HIGH",IF(Q1597&gt;=30,"MEDIUM","LOW")))</f>
        <v/>
      </c>
    </row>
    <row r="1598">
      <c r="A1598" t="n">
        <v>1597</v>
      </c>
      <c r="R1598">
        <f>IF(Q1598="","",IF(Q1598&gt;=60,"HIGH",IF(Q1598&gt;=30,"MEDIUM","LOW")))</f>
        <v/>
      </c>
    </row>
    <row r="1599">
      <c r="A1599" t="n">
        <v>1598</v>
      </c>
      <c r="R1599">
        <f>IF(Q1599="","",IF(Q1599&gt;=60,"HIGH",IF(Q1599&gt;=30,"MEDIUM","LOW")))</f>
        <v/>
      </c>
    </row>
    <row r="1600">
      <c r="A1600" t="n">
        <v>1599</v>
      </c>
      <c r="R1600">
        <f>IF(Q1600="","",IF(Q1600&gt;=60,"HIGH",IF(Q1600&gt;=30,"MEDIUM","LOW")))</f>
        <v/>
      </c>
    </row>
    <row r="1601">
      <c r="A1601" t="n">
        <v>1600</v>
      </c>
      <c r="R1601">
        <f>IF(Q1601="","",IF(Q1601&gt;=60,"HIGH",IF(Q1601&gt;=30,"MEDIUM","LOW")))</f>
        <v/>
      </c>
    </row>
    <row r="1602">
      <c r="A1602" t="n">
        <v>1601</v>
      </c>
      <c r="R1602">
        <f>IF(Q1602="","",IF(Q1602&gt;=60,"HIGH",IF(Q1602&gt;=30,"MEDIUM","LOW")))</f>
        <v/>
      </c>
    </row>
    <row r="1603">
      <c r="A1603" t="n">
        <v>1602</v>
      </c>
      <c r="R1603">
        <f>IF(Q1603="","",IF(Q1603&gt;=60,"HIGH",IF(Q1603&gt;=30,"MEDIUM","LOW")))</f>
        <v/>
      </c>
    </row>
    <row r="1604">
      <c r="A1604" t="n">
        <v>1603</v>
      </c>
      <c r="R1604">
        <f>IF(Q1604="","",IF(Q1604&gt;=60,"HIGH",IF(Q1604&gt;=30,"MEDIUM","LOW")))</f>
        <v/>
      </c>
    </row>
    <row r="1605">
      <c r="A1605" t="n">
        <v>1604</v>
      </c>
      <c r="R1605">
        <f>IF(Q1605="","",IF(Q1605&gt;=60,"HIGH",IF(Q1605&gt;=30,"MEDIUM","LOW")))</f>
        <v/>
      </c>
    </row>
    <row r="1606">
      <c r="A1606" t="n">
        <v>1605</v>
      </c>
      <c r="R1606">
        <f>IF(Q1606="","",IF(Q1606&gt;=60,"HIGH",IF(Q1606&gt;=30,"MEDIUM","LOW")))</f>
        <v/>
      </c>
    </row>
    <row r="1607">
      <c r="A1607" t="n">
        <v>1606</v>
      </c>
      <c r="R1607">
        <f>IF(Q1607="","",IF(Q1607&gt;=60,"HIGH",IF(Q1607&gt;=30,"MEDIUM","LOW")))</f>
        <v/>
      </c>
    </row>
    <row r="1608">
      <c r="A1608" t="n">
        <v>1607</v>
      </c>
      <c r="R1608">
        <f>IF(Q1608="","",IF(Q1608&gt;=60,"HIGH",IF(Q1608&gt;=30,"MEDIUM","LOW")))</f>
        <v/>
      </c>
    </row>
    <row r="1609">
      <c r="A1609" t="n">
        <v>1608</v>
      </c>
      <c r="R1609">
        <f>IF(Q1609="","",IF(Q1609&gt;=60,"HIGH",IF(Q1609&gt;=30,"MEDIUM","LOW")))</f>
        <v/>
      </c>
    </row>
    <row r="1610">
      <c r="A1610" t="n">
        <v>1609</v>
      </c>
      <c r="R1610">
        <f>IF(Q1610="","",IF(Q1610&gt;=60,"HIGH",IF(Q1610&gt;=30,"MEDIUM","LOW")))</f>
        <v/>
      </c>
    </row>
    <row r="1611">
      <c r="A1611" t="n">
        <v>1610</v>
      </c>
      <c r="R1611">
        <f>IF(Q1611="","",IF(Q1611&gt;=60,"HIGH",IF(Q1611&gt;=30,"MEDIUM","LOW")))</f>
        <v/>
      </c>
    </row>
    <row r="1612">
      <c r="A1612" t="n">
        <v>1611</v>
      </c>
      <c r="R1612">
        <f>IF(Q1612="","",IF(Q1612&gt;=60,"HIGH",IF(Q1612&gt;=30,"MEDIUM","LOW")))</f>
        <v/>
      </c>
    </row>
    <row r="1613">
      <c r="A1613" t="n">
        <v>1612</v>
      </c>
      <c r="R1613">
        <f>IF(Q1613="","",IF(Q1613&gt;=60,"HIGH",IF(Q1613&gt;=30,"MEDIUM","LOW")))</f>
        <v/>
      </c>
    </row>
    <row r="1614">
      <c r="A1614" t="n">
        <v>1613</v>
      </c>
      <c r="R1614">
        <f>IF(Q1614="","",IF(Q1614&gt;=60,"HIGH",IF(Q1614&gt;=30,"MEDIUM","LOW")))</f>
        <v/>
      </c>
    </row>
    <row r="1615">
      <c r="A1615" t="n">
        <v>1614</v>
      </c>
      <c r="R1615">
        <f>IF(Q1615="","",IF(Q1615&gt;=60,"HIGH",IF(Q1615&gt;=30,"MEDIUM","LOW")))</f>
        <v/>
      </c>
    </row>
    <row r="1616">
      <c r="A1616" t="n">
        <v>1615</v>
      </c>
      <c r="R1616">
        <f>IF(Q1616="","",IF(Q1616&gt;=60,"HIGH",IF(Q1616&gt;=30,"MEDIUM","LOW")))</f>
        <v/>
      </c>
    </row>
    <row r="1617">
      <c r="A1617" t="n">
        <v>1616</v>
      </c>
      <c r="R1617">
        <f>IF(Q1617="","",IF(Q1617&gt;=60,"HIGH",IF(Q1617&gt;=30,"MEDIUM","LOW")))</f>
        <v/>
      </c>
    </row>
    <row r="1618">
      <c r="A1618" t="n">
        <v>1617</v>
      </c>
      <c r="R1618">
        <f>IF(Q1618="","",IF(Q1618&gt;=60,"HIGH",IF(Q1618&gt;=30,"MEDIUM","LOW")))</f>
        <v/>
      </c>
    </row>
    <row r="1619">
      <c r="A1619" t="n">
        <v>1618</v>
      </c>
      <c r="R1619">
        <f>IF(Q1619="","",IF(Q1619&gt;=60,"HIGH",IF(Q1619&gt;=30,"MEDIUM","LOW")))</f>
        <v/>
      </c>
    </row>
    <row r="1620">
      <c r="A1620" t="n">
        <v>1619</v>
      </c>
      <c r="R1620">
        <f>IF(Q1620="","",IF(Q1620&gt;=60,"HIGH",IF(Q1620&gt;=30,"MEDIUM","LOW")))</f>
        <v/>
      </c>
    </row>
    <row r="1621">
      <c r="A1621" t="n">
        <v>1620</v>
      </c>
      <c r="R1621">
        <f>IF(Q1621="","",IF(Q1621&gt;=60,"HIGH",IF(Q1621&gt;=30,"MEDIUM","LOW")))</f>
        <v/>
      </c>
    </row>
    <row r="1622">
      <c r="A1622" t="n">
        <v>1621</v>
      </c>
      <c r="R1622">
        <f>IF(Q1622="","",IF(Q1622&gt;=60,"HIGH",IF(Q1622&gt;=30,"MEDIUM","LOW")))</f>
        <v/>
      </c>
    </row>
    <row r="1623">
      <c r="A1623" t="n">
        <v>1622</v>
      </c>
      <c r="R1623">
        <f>IF(Q1623="","",IF(Q1623&gt;=60,"HIGH",IF(Q1623&gt;=30,"MEDIUM","LOW")))</f>
        <v/>
      </c>
    </row>
    <row r="1624">
      <c r="A1624" t="n">
        <v>1623</v>
      </c>
      <c r="R1624">
        <f>IF(Q1624="","",IF(Q1624&gt;=60,"HIGH",IF(Q1624&gt;=30,"MEDIUM","LOW")))</f>
        <v/>
      </c>
    </row>
    <row r="1625">
      <c r="A1625" t="n">
        <v>1624</v>
      </c>
      <c r="R1625">
        <f>IF(Q1625="","",IF(Q1625&gt;=60,"HIGH",IF(Q1625&gt;=30,"MEDIUM","LOW")))</f>
        <v/>
      </c>
    </row>
    <row r="1626">
      <c r="A1626" t="n">
        <v>1625</v>
      </c>
      <c r="R1626">
        <f>IF(Q1626="","",IF(Q1626&gt;=60,"HIGH",IF(Q1626&gt;=30,"MEDIUM","LOW")))</f>
        <v/>
      </c>
    </row>
    <row r="1627">
      <c r="A1627" t="n">
        <v>1626</v>
      </c>
      <c r="R1627">
        <f>IF(Q1627="","",IF(Q1627&gt;=60,"HIGH",IF(Q1627&gt;=30,"MEDIUM","LOW")))</f>
        <v/>
      </c>
    </row>
    <row r="1628">
      <c r="A1628" t="n">
        <v>1627</v>
      </c>
      <c r="R1628">
        <f>IF(Q1628="","",IF(Q1628&gt;=60,"HIGH",IF(Q1628&gt;=30,"MEDIUM","LOW")))</f>
        <v/>
      </c>
    </row>
    <row r="1629">
      <c r="A1629" t="n">
        <v>1628</v>
      </c>
      <c r="R1629">
        <f>IF(Q1629="","",IF(Q1629&gt;=60,"HIGH",IF(Q1629&gt;=30,"MEDIUM","LOW")))</f>
        <v/>
      </c>
    </row>
    <row r="1630">
      <c r="A1630" t="n">
        <v>1629</v>
      </c>
      <c r="R1630">
        <f>IF(Q1630="","",IF(Q1630&gt;=60,"HIGH",IF(Q1630&gt;=30,"MEDIUM","LOW")))</f>
        <v/>
      </c>
    </row>
    <row r="1631">
      <c r="A1631" t="n">
        <v>1630</v>
      </c>
      <c r="R1631">
        <f>IF(Q1631="","",IF(Q1631&gt;=60,"HIGH",IF(Q1631&gt;=30,"MEDIUM","LOW")))</f>
        <v/>
      </c>
    </row>
    <row r="1632">
      <c r="A1632" t="n">
        <v>1631</v>
      </c>
      <c r="R1632">
        <f>IF(Q1632="","",IF(Q1632&gt;=60,"HIGH",IF(Q1632&gt;=30,"MEDIUM","LOW")))</f>
        <v/>
      </c>
    </row>
    <row r="1633">
      <c r="A1633" t="n">
        <v>1632</v>
      </c>
      <c r="R1633">
        <f>IF(Q1633="","",IF(Q1633&gt;=60,"HIGH",IF(Q1633&gt;=30,"MEDIUM","LOW")))</f>
        <v/>
      </c>
    </row>
    <row r="1634">
      <c r="A1634" t="n">
        <v>1633</v>
      </c>
      <c r="R1634">
        <f>IF(Q1634="","",IF(Q1634&gt;=60,"HIGH",IF(Q1634&gt;=30,"MEDIUM","LOW")))</f>
        <v/>
      </c>
    </row>
    <row r="1635">
      <c r="A1635" t="n">
        <v>1634</v>
      </c>
      <c r="R1635">
        <f>IF(Q1635="","",IF(Q1635&gt;=60,"HIGH",IF(Q1635&gt;=30,"MEDIUM","LOW")))</f>
        <v/>
      </c>
    </row>
    <row r="1636">
      <c r="A1636" t="n">
        <v>1635</v>
      </c>
      <c r="R1636">
        <f>IF(Q1636="","",IF(Q1636&gt;=60,"HIGH",IF(Q1636&gt;=30,"MEDIUM","LOW")))</f>
        <v/>
      </c>
    </row>
    <row r="1637">
      <c r="A1637" t="n">
        <v>1636</v>
      </c>
      <c r="R1637">
        <f>IF(Q1637="","",IF(Q1637&gt;=60,"HIGH",IF(Q1637&gt;=30,"MEDIUM","LOW")))</f>
        <v/>
      </c>
    </row>
    <row r="1638">
      <c r="A1638" t="n">
        <v>1637</v>
      </c>
      <c r="R1638">
        <f>IF(Q1638="","",IF(Q1638&gt;=60,"HIGH",IF(Q1638&gt;=30,"MEDIUM","LOW")))</f>
        <v/>
      </c>
    </row>
    <row r="1639">
      <c r="A1639" t="n">
        <v>1638</v>
      </c>
      <c r="R1639">
        <f>IF(Q1639="","",IF(Q1639&gt;=60,"HIGH",IF(Q1639&gt;=30,"MEDIUM","LOW")))</f>
        <v/>
      </c>
    </row>
    <row r="1640">
      <c r="A1640" t="n">
        <v>1639</v>
      </c>
      <c r="R1640">
        <f>IF(Q1640="","",IF(Q1640&gt;=60,"HIGH",IF(Q1640&gt;=30,"MEDIUM","LOW")))</f>
        <v/>
      </c>
    </row>
    <row r="1641">
      <c r="A1641" t="n">
        <v>1640</v>
      </c>
      <c r="R1641">
        <f>IF(Q1641="","",IF(Q1641&gt;=60,"HIGH",IF(Q1641&gt;=30,"MEDIUM","LOW")))</f>
        <v/>
      </c>
    </row>
    <row r="1642">
      <c r="A1642" t="n">
        <v>1641</v>
      </c>
      <c r="R1642">
        <f>IF(Q1642="","",IF(Q1642&gt;=60,"HIGH",IF(Q1642&gt;=30,"MEDIUM","LOW")))</f>
        <v/>
      </c>
    </row>
    <row r="1643">
      <c r="A1643" t="n">
        <v>1642</v>
      </c>
      <c r="R1643">
        <f>IF(Q1643="","",IF(Q1643&gt;=60,"HIGH",IF(Q1643&gt;=30,"MEDIUM","LOW")))</f>
        <v/>
      </c>
    </row>
    <row r="1644">
      <c r="A1644" t="n">
        <v>1643</v>
      </c>
      <c r="R1644">
        <f>IF(Q1644="","",IF(Q1644&gt;=60,"HIGH",IF(Q1644&gt;=30,"MEDIUM","LOW")))</f>
        <v/>
      </c>
    </row>
    <row r="1645">
      <c r="A1645" t="n">
        <v>1644</v>
      </c>
      <c r="R1645">
        <f>IF(Q1645="","",IF(Q1645&gt;=60,"HIGH",IF(Q1645&gt;=30,"MEDIUM","LOW")))</f>
        <v/>
      </c>
    </row>
    <row r="1646">
      <c r="A1646" t="n">
        <v>1645</v>
      </c>
      <c r="R1646">
        <f>IF(Q1646="","",IF(Q1646&gt;=60,"HIGH",IF(Q1646&gt;=30,"MEDIUM","LOW")))</f>
        <v/>
      </c>
    </row>
    <row r="1647">
      <c r="A1647" t="n">
        <v>1646</v>
      </c>
      <c r="R1647">
        <f>IF(Q1647="","",IF(Q1647&gt;=60,"HIGH",IF(Q1647&gt;=30,"MEDIUM","LOW")))</f>
        <v/>
      </c>
    </row>
    <row r="1648">
      <c r="A1648" t="n">
        <v>1647</v>
      </c>
      <c r="R1648">
        <f>IF(Q1648="","",IF(Q1648&gt;=60,"HIGH",IF(Q1648&gt;=30,"MEDIUM","LOW")))</f>
        <v/>
      </c>
    </row>
    <row r="1649">
      <c r="A1649" t="n">
        <v>1648</v>
      </c>
      <c r="R1649">
        <f>IF(Q1649="","",IF(Q1649&gt;=60,"HIGH",IF(Q1649&gt;=30,"MEDIUM","LOW")))</f>
        <v/>
      </c>
    </row>
    <row r="1650">
      <c r="A1650" t="n">
        <v>1649</v>
      </c>
      <c r="R1650">
        <f>IF(Q1650="","",IF(Q1650&gt;=60,"HIGH",IF(Q1650&gt;=30,"MEDIUM","LOW")))</f>
        <v/>
      </c>
    </row>
    <row r="1651">
      <c r="A1651" t="n">
        <v>1650</v>
      </c>
      <c r="R1651">
        <f>IF(Q1651="","",IF(Q1651&gt;=60,"HIGH",IF(Q1651&gt;=30,"MEDIUM","LOW")))</f>
        <v/>
      </c>
    </row>
    <row r="1652">
      <c r="A1652" t="n">
        <v>1651</v>
      </c>
      <c r="R1652">
        <f>IF(Q1652="","",IF(Q1652&gt;=60,"HIGH",IF(Q1652&gt;=30,"MEDIUM","LOW")))</f>
        <v/>
      </c>
    </row>
    <row r="1653">
      <c r="A1653" t="n">
        <v>1652</v>
      </c>
      <c r="R1653">
        <f>IF(Q1653="","",IF(Q1653&gt;=60,"HIGH",IF(Q1653&gt;=30,"MEDIUM","LOW")))</f>
        <v/>
      </c>
    </row>
    <row r="1654">
      <c r="A1654" t="n">
        <v>1653</v>
      </c>
      <c r="R1654">
        <f>IF(Q1654="","",IF(Q1654&gt;=60,"HIGH",IF(Q1654&gt;=30,"MEDIUM","LOW")))</f>
        <v/>
      </c>
    </row>
    <row r="1655">
      <c r="A1655" t="n">
        <v>1654</v>
      </c>
      <c r="R1655">
        <f>IF(Q1655="","",IF(Q1655&gt;=60,"HIGH",IF(Q1655&gt;=30,"MEDIUM","LOW")))</f>
        <v/>
      </c>
    </row>
    <row r="1656">
      <c r="A1656" t="n">
        <v>1655</v>
      </c>
      <c r="R1656">
        <f>IF(Q1656="","",IF(Q1656&gt;=60,"HIGH",IF(Q1656&gt;=30,"MEDIUM","LOW")))</f>
        <v/>
      </c>
    </row>
    <row r="1657">
      <c r="A1657" t="n">
        <v>1656</v>
      </c>
      <c r="R1657">
        <f>IF(Q1657="","",IF(Q1657&gt;=60,"HIGH",IF(Q1657&gt;=30,"MEDIUM","LOW")))</f>
        <v/>
      </c>
    </row>
    <row r="1658">
      <c r="A1658" t="n">
        <v>1657</v>
      </c>
      <c r="R1658">
        <f>IF(Q1658="","",IF(Q1658&gt;=60,"HIGH",IF(Q1658&gt;=30,"MEDIUM","LOW")))</f>
        <v/>
      </c>
    </row>
    <row r="1659">
      <c r="A1659" t="n">
        <v>1658</v>
      </c>
      <c r="R1659">
        <f>IF(Q1659="","",IF(Q1659&gt;=60,"HIGH",IF(Q1659&gt;=30,"MEDIUM","LOW")))</f>
        <v/>
      </c>
    </row>
    <row r="1660">
      <c r="A1660" t="n">
        <v>1659</v>
      </c>
      <c r="R1660">
        <f>IF(Q1660="","",IF(Q1660&gt;=60,"HIGH",IF(Q1660&gt;=30,"MEDIUM","LOW")))</f>
        <v/>
      </c>
    </row>
    <row r="1661">
      <c r="A1661" t="n">
        <v>1660</v>
      </c>
      <c r="R1661">
        <f>IF(Q1661="","",IF(Q1661&gt;=60,"HIGH",IF(Q1661&gt;=30,"MEDIUM","LOW")))</f>
        <v/>
      </c>
    </row>
    <row r="1662">
      <c r="A1662" t="n">
        <v>1661</v>
      </c>
      <c r="R1662">
        <f>IF(Q1662="","",IF(Q1662&gt;=60,"HIGH",IF(Q1662&gt;=30,"MEDIUM","LOW")))</f>
        <v/>
      </c>
    </row>
    <row r="1663">
      <c r="A1663" t="n">
        <v>1662</v>
      </c>
      <c r="R1663">
        <f>IF(Q1663="","",IF(Q1663&gt;=60,"HIGH",IF(Q1663&gt;=30,"MEDIUM","LOW")))</f>
        <v/>
      </c>
    </row>
    <row r="1664">
      <c r="A1664" t="n">
        <v>1663</v>
      </c>
      <c r="R1664">
        <f>IF(Q1664="","",IF(Q1664&gt;=60,"HIGH",IF(Q1664&gt;=30,"MEDIUM","LOW")))</f>
        <v/>
      </c>
    </row>
    <row r="1665">
      <c r="A1665" t="n">
        <v>1664</v>
      </c>
      <c r="R1665">
        <f>IF(Q1665="","",IF(Q1665&gt;=60,"HIGH",IF(Q1665&gt;=30,"MEDIUM","LOW")))</f>
        <v/>
      </c>
    </row>
    <row r="1666">
      <c r="A1666" t="n">
        <v>1665</v>
      </c>
      <c r="R1666">
        <f>IF(Q1666="","",IF(Q1666&gt;=60,"HIGH",IF(Q1666&gt;=30,"MEDIUM","LOW")))</f>
        <v/>
      </c>
    </row>
    <row r="1667">
      <c r="A1667" t="n">
        <v>1666</v>
      </c>
      <c r="R1667">
        <f>IF(Q1667="","",IF(Q1667&gt;=60,"HIGH",IF(Q1667&gt;=30,"MEDIUM","LOW")))</f>
        <v/>
      </c>
    </row>
    <row r="1668">
      <c r="A1668" t="n">
        <v>1667</v>
      </c>
      <c r="R1668">
        <f>IF(Q1668="","",IF(Q1668&gt;=60,"HIGH",IF(Q1668&gt;=30,"MEDIUM","LOW")))</f>
        <v/>
      </c>
    </row>
    <row r="1669">
      <c r="A1669" t="n">
        <v>1668</v>
      </c>
      <c r="R1669">
        <f>IF(Q1669="","",IF(Q1669&gt;=60,"HIGH",IF(Q1669&gt;=30,"MEDIUM","LOW")))</f>
        <v/>
      </c>
    </row>
    <row r="1670">
      <c r="A1670" t="n">
        <v>1669</v>
      </c>
      <c r="R1670">
        <f>IF(Q1670="","",IF(Q1670&gt;=60,"HIGH",IF(Q1670&gt;=30,"MEDIUM","LOW")))</f>
        <v/>
      </c>
    </row>
    <row r="1671">
      <c r="A1671" t="n">
        <v>1670</v>
      </c>
      <c r="R1671">
        <f>IF(Q1671="","",IF(Q1671&gt;=60,"HIGH",IF(Q1671&gt;=30,"MEDIUM","LOW")))</f>
        <v/>
      </c>
    </row>
    <row r="1672">
      <c r="A1672" t="n">
        <v>1671</v>
      </c>
      <c r="R1672">
        <f>IF(Q1672="","",IF(Q1672&gt;=60,"HIGH",IF(Q1672&gt;=30,"MEDIUM","LOW")))</f>
        <v/>
      </c>
    </row>
    <row r="1673">
      <c r="A1673" t="n">
        <v>1672</v>
      </c>
      <c r="R1673">
        <f>IF(Q1673="","",IF(Q1673&gt;=60,"HIGH",IF(Q1673&gt;=30,"MEDIUM","LOW")))</f>
        <v/>
      </c>
    </row>
    <row r="1674">
      <c r="A1674" t="n">
        <v>1673</v>
      </c>
      <c r="R1674">
        <f>IF(Q1674="","",IF(Q1674&gt;=60,"HIGH",IF(Q1674&gt;=30,"MEDIUM","LOW")))</f>
        <v/>
      </c>
    </row>
    <row r="1675">
      <c r="A1675" t="n">
        <v>1674</v>
      </c>
      <c r="R1675">
        <f>IF(Q1675="","",IF(Q1675&gt;=60,"HIGH",IF(Q1675&gt;=30,"MEDIUM","LOW")))</f>
        <v/>
      </c>
    </row>
    <row r="1676">
      <c r="A1676" t="n">
        <v>1675</v>
      </c>
      <c r="R1676">
        <f>IF(Q1676="","",IF(Q1676&gt;=60,"HIGH",IF(Q1676&gt;=30,"MEDIUM","LOW")))</f>
        <v/>
      </c>
    </row>
    <row r="1677">
      <c r="A1677" t="n">
        <v>1676</v>
      </c>
      <c r="R1677">
        <f>IF(Q1677="","",IF(Q1677&gt;=60,"HIGH",IF(Q1677&gt;=30,"MEDIUM","LOW")))</f>
        <v/>
      </c>
    </row>
    <row r="1678">
      <c r="A1678" t="n">
        <v>1677</v>
      </c>
      <c r="R1678">
        <f>IF(Q1678="","",IF(Q1678&gt;=60,"HIGH",IF(Q1678&gt;=30,"MEDIUM","LOW")))</f>
        <v/>
      </c>
    </row>
    <row r="1679">
      <c r="A1679" t="n">
        <v>1678</v>
      </c>
      <c r="R1679">
        <f>IF(Q1679="","",IF(Q1679&gt;=60,"HIGH",IF(Q1679&gt;=30,"MEDIUM","LOW")))</f>
        <v/>
      </c>
    </row>
    <row r="1680">
      <c r="A1680" t="n">
        <v>1679</v>
      </c>
      <c r="R1680">
        <f>IF(Q1680="","",IF(Q1680&gt;=60,"HIGH",IF(Q1680&gt;=30,"MEDIUM","LOW")))</f>
        <v/>
      </c>
    </row>
    <row r="1681">
      <c r="A1681" t="n">
        <v>1680</v>
      </c>
      <c r="R1681">
        <f>IF(Q1681="","",IF(Q1681&gt;=60,"HIGH",IF(Q1681&gt;=30,"MEDIUM","LOW")))</f>
        <v/>
      </c>
    </row>
    <row r="1682">
      <c r="A1682" t="n">
        <v>1681</v>
      </c>
      <c r="R1682">
        <f>IF(Q1682="","",IF(Q1682&gt;=60,"HIGH",IF(Q1682&gt;=30,"MEDIUM","LOW")))</f>
        <v/>
      </c>
    </row>
    <row r="1683">
      <c r="A1683" t="n">
        <v>1682</v>
      </c>
      <c r="R1683">
        <f>IF(Q1683="","",IF(Q1683&gt;=60,"HIGH",IF(Q1683&gt;=30,"MEDIUM","LOW")))</f>
        <v/>
      </c>
    </row>
    <row r="1684">
      <c r="A1684" t="n">
        <v>1683</v>
      </c>
      <c r="R1684">
        <f>IF(Q1684="","",IF(Q1684&gt;=60,"HIGH",IF(Q1684&gt;=30,"MEDIUM","LOW")))</f>
        <v/>
      </c>
    </row>
    <row r="1685">
      <c r="A1685" t="n">
        <v>1684</v>
      </c>
      <c r="R1685">
        <f>IF(Q1685="","",IF(Q1685&gt;=60,"HIGH",IF(Q1685&gt;=30,"MEDIUM","LOW")))</f>
        <v/>
      </c>
    </row>
    <row r="1686">
      <c r="A1686" t="n">
        <v>1685</v>
      </c>
      <c r="R1686">
        <f>IF(Q1686="","",IF(Q1686&gt;=60,"HIGH",IF(Q1686&gt;=30,"MEDIUM","LOW")))</f>
        <v/>
      </c>
    </row>
    <row r="1687">
      <c r="A1687" t="n">
        <v>1686</v>
      </c>
      <c r="R1687">
        <f>IF(Q1687="","",IF(Q1687&gt;=60,"HIGH",IF(Q1687&gt;=30,"MEDIUM","LOW")))</f>
        <v/>
      </c>
    </row>
    <row r="1688">
      <c r="A1688" t="n">
        <v>1687</v>
      </c>
      <c r="R1688">
        <f>IF(Q1688="","",IF(Q1688&gt;=60,"HIGH",IF(Q1688&gt;=30,"MEDIUM","LOW")))</f>
        <v/>
      </c>
    </row>
    <row r="1689">
      <c r="A1689" t="n">
        <v>1688</v>
      </c>
      <c r="R1689">
        <f>IF(Q1689="","",IF(Q1689&gt;=60,"HIGH",IF(Q1689&gt;=30,"MEDIUM","LOW")))</f>
        <v/>
      </c>
    </row>
    <row r="1690">
      <c r="A1690" t="n">
        <v>1689</v>
      </c>
      <c r="R1690">
        <f>IF(Q1690="","",IF(Q1690&gt;=60,"HIGH",IF(Q1690&gt;=30,"MEDIUM","LOW")))</f>
        <v/>
      </c>
    </row>
    <row r="1691">
      <c r="A1691" t="n">
        <v>1690</v>
      </c>
      <c r="R1691">
        <f>IF(Q1691="","",IF(Q1691&gt;=60,"HIGH",IF(Q1691&gt;=30,"MEDIUM","LOW")))</f>
        <v/>
      </c>
    </row>
    <row r="1692">
      <c r="A1692" t="n">
        <v>1691</v>
      </c>
      <c r="R1692">
        <f>IF(Q1692="","",IF(Q1692&gt;=60,"HIGH",IF(Q1692&gt;=30,"MEDIUM","LOW")))</f>
        <v/>
      </c>
    </row>
    <row r="1693">
      <c r="A1693" t="n">
        <v>1692</v>
      </c>
      <c r="R1693">
        <f>IF(Q1693="","",IF(Q1693&gt;=60,"HIGH",IF(Q1693&gt;=30,"MEDIUM","LOW")))</f>
        <v/>
      </c>
    </row>
    <row r="1694">
      <c r="A1694" t="n">
        <v>1693</v>
      </c>
      <c r="R1694">
        <f>IF(Q1694="","",IF(Q1694&gt;=60,"HIGH",IF(Q1694&gt;=30,"MEDIUM","LOW")))</f>
        <v/>
      </c>
    </row>
    <row r="1695">
      <c r="A1695" t="n">
        <v>1694</v>
      </c>
      <c r="R1695">
        <f>IF(Q1695="","",IF(Q1695&gt;=60,"HIGH",IF(Q1695&gt;=30,"MEDIUM","LOW")))</f>
        <v/>
      </c>
    </row>
    <row r="1696">
      <c r="A1696" t="n">
        <v>1695</v>
      </c>
      <c r="R1696">
        <f>IF(Q1696="","",IF(Q1696&gt;=60,"HIGH",IF(Q1696&gt;=30,"MEDIUM","LOW")))</f>
        <v/>
      </c>
    </row>
    <row r="1697">
      <c r="A1697" t="n">
        <v>1696</v>
      </c>
      <c r="R1697">
        <f>IF(Q1697="","",IF(Q1697&gt;=60,"HIGH",IF(Q1697&gt;=30,"MEDIUM","LOW")))</f>
        <v/>
      </c>
    </row>
    <row r="1698">
      <c r="A1698" t="n">
        <v>1697</v>
      </c>
      <c r="R1698">
        <f>IF(Q1698="","",IF(Q1698&gt;=60,"HIGH",IF(Q1698&gt;=30,"MEDIUM","LOW")))</f>
        <v/>
      </c>
    </row>
    <row r="1699">
      <c r="A1699" t="n">
        <v>1698</v>
      </c>
      <c r="R1699">
        <f>IF(Q1699="","",IF(Q1699&gt;=60,"HIGH",IF(Q1699&gt;=30,"MEDIUM","LOW")))</f>
        <v/>
      </c>
    </row>
    <row r="1700">
      <c r="A1700" t="n">
        <v>1699</v>
      </c>
      <c r="R1700">
        <f>IF(Q1700="","",IF(Q1700&gt;=60,"HIGH",IF(Q1700&gt;=30,"MEDIUM","LOW")))</f>
        <v/>
      </c>
    </row>
    <row r="1701">
      <c r="A1701" t="n">
        <v>1700</v>
      </c>
      <c r="R1701">
        <f>IF(Q1701="","",IF(Q1701&gt;=60,"HIGH",IF(Q1701&gt;=30,"MEDIUM","LOW")))</f>
        <v/>
      </c>
    </row>
    <row r="1702">
      <c r="A1702" t="n">
        <v>1701</v>
      </c>
      <c r="R1702">
        <f>IF(Q1702="","",IF(Q1702&gt;=60,"HIGH",IF(Q1702&gt;=30,"MEDIUM","LOW")))</f>
        <v/>
      </c>
    </row>
    <row r="1703">
      <c r="A1703" t="n">
        <v>1702</v>
      </c>
      <c r="R1703">
        <f>IF(Q1703="","",IF(Q1703&gt;=60,"HIGH",IF(Q1703&gt;=30,"MEDIUM","LOW")))</f>
        <v/>
      </c>
    </row>
    <row r="1704">
      <c r="A1704" t="n">
        <v>1703</v>
      </c>
      <c r="R1704">
        <f>IF(Q1704="","",IF(Q1704&gt;=60,"HIGH",IF(Q1704&gt;=30,"MEDIUM","LOW")))</f>
        <v/>
      </c>
    </row>
    <row r="1705">
      <c r="A1705" t="n">
        <v>1704</v>
      </c>
      <c r="R1705">
        <f>IF(Q1705="","",IF(Q1705&gt;=60,"HIGH",IF(Q1705&gt;=30,"MEDIUM","LOW")))</f>
        <v/>
      </c>
    </row>
    <row r="1706">
      <c r="A1706" t="n">
        <v>1705</v>
      </c>
      <c r="R1706">
        <f>IF(Q1706="","",IF(Q1706&gt;=60,"HIGH",IF(Q1706&gt;=30,"MEDIUM","LOW")))</f>
        <v/>
      </c>
    </row>
    <row r="1707">
      <c r="A1707" t="n">
        <v>1706</v>
      </c>
      <c r="R1707">
        <f>IF(Q1707="","",IF(Q1707&gt;=60,"HIGH",IF(Q1707&gt;=30,"MEDIUM","LOW")))</f>
        <v/>
      </c>
    </row>
    <row r="1708">
      <c r="A1708" t="n">
        <v>1707</v>
      </c>
      <c r="R1708">
        <f>IF(Q1708="","",IF(Q1708&gt;=60,"HIGH",IF(Q1708&gt;=30,"MEDIUM","LOW")))</f>
        <v/>
      </c>
    </row>
    <row r="1709">
      <c r="A1709" t="n">
        <v>1708</v>
      </c>
      <c r="R1709">
        <f>IF(Q1709="","",IF(Q1709&gt;=60,"HIGH",IF(Q1709&gt;=30,"MEDIUM","LOW")))</f>
        <v/>
      </c>
    </row>
    <row r="1710">
      <c r="A1710" t="n">
        <v>1709</v>
      </c>
      <c r="R1710">
        <f>IF(Q1710="","",IF(Q1710&gt;=60,"HIGH",IF(Q1710&gt;=30,"MEDIUM","LOW")))</f>
        <v/>
      </c>
    </row>
    <row r="1711">
      <c r="A1711" t="n">
        <v>1710</v>
      </c>
      <c r="R1711">
        <f>IF(Q1711="","",IF(Q1711&gt;=60,"HIGH",IF(Q1711&gt;=30,"MEDIUM","LOW")))</f>
        <v/>
      </c>
    </row>
    <row r="1712">
      <c r="A1712" t="n">
        <v>1711</v>
      </c>
      <c r="R1712">
        <f>IF(Q1712="","",IF(Q1712&gt;=60,"HIGH",IF(Q1712&gt;=30,"MEDIUM","LOW")))</f>
        <v/>
      </c>
    </row>
    <row r="1713">
      <c r="A1713" t="n">
        <v>1712</v>
      </c>
      <c r="R1713">
        <f>IF(Q1713="","",IF(Q1713&gt;=60,"HIGH",IF(Q1713&gt;=30,"MEDIUM","LOW")))</f>
        <v/>
      </c>
    </row>
    <row r="1714">
      <c r="A1714" t="n">
        <v>1713</v>
      </c>
      <c r="R1714">
        <f>IF(Q1714="","",IF(Q1714&gt;=60,"HIGH",IF(Q1714&gt;=30,"MEDIUM","LOW")))</f>
        <v/>
      </c>
    </row>
    <row r="1715">
      <c r="A1715" t="n">
        <v>1714</v>
      </c>
      <c r="R1715">
        <f>IF(Q1715="","",IF(Q1715&gt;=60,"HIGH",IF(Q1715&gt;=30,"MEDIUM","LOW")))</f>
        <v/>
      </c>
    </row>
    <row r="1716">
      <c r="A1716" t="n">
        <v>1715</v>
      </c>
      <c r="R1716">
        <f>IF(Q1716="","",IF(Q1716&gt;=60,"HIGH",IF(Q1716&gt;=30,"MEDIUM","LOW")))</f>
        <v/>
      </c>
    </row>
    <row r="1717">
      <c r="A1717" t="n">
        <v>1716</v>
      </c>
      <c r="R1717">
        <f>IF(Q1717="","",IF(Q1717&gt;=60,"HIGH",IF(Q1717&gt;=30,"MEDIUM","LOW")))</f>
        <v/>
      </c>
    </row>
    <row r="1718">
      <c r="A1718" t="n">
        <v>1717</v>
      </c>
      <c r="R1718">
        <f>IF(Q1718="","",IF(Q1718&gt;=60,"HIGH",IF(Q1718&gt;=30,"MEDIUM","LOW")))</f>
        <v/>
      </c>
    </row>
    <row r="1719">
      <c r="A1719" t="n">
        <v>1718</v>
      </c>
      <c r="R1719">
        <f>IF(Q1719="","",IF(Q1719&gt;=60,"HIGH",IF(Q1719&gt;=30,"MEDIUM","LOW")))</f>
        <v/>
      </c>
    </row>
    <row r="1720">
      <c r="A1720" t="n">
        <v>1719</v>
      </c>
      <c r="R1720">
        <f>IF(Q1720="","",IF(Q1720&gt;=60,"HIGH",IF(Q1720&gt;=30,"MEDIUM","LOW")))</f>
        <v/>
      </c>
    </row>
    <row r="1721">
      <c r="A1721" t="n">
        <v>1720</v>
      </c>
      <c r="R1721">
        <f>IF(Q1721="","",IF(Q1721&gt;=60,"HIGH",IF(Q1721&gt;=30,"MEDIUM","LOW")))</f>
        <v/>
      </c>
    </row>
    <row r="1722">
      <c r="A1722" t="n">
        <v>1721</v>
      </c>
      <c r="R1722">
        <f>IF(Q1722="","",IF(Q1722&gt;=60,"HIGH",IF(Q1722&gt;=30,"MEDIUM","LOW")))</f>
        <v/>
      </c>
    </row>
    <row r="1723">
      <c r="A1723" t="n">
        <v>1722</v>
      </c>
      <c r="R1723">
        <f>IF(Q1723="","",IF(Q1723&gt;=60,"HIGH",IF(Q1723&gt;=30,"MEDIUM","LOW")))</f>
        <v/>
      </c>
    </row>
    <row r="1724">
      <c r="A1724" t="n">
        <v>1723</v>
      </c>
      <c r="R1724">
        <f>IF(Q1724="","",IF(Q1724&gt;=60,"HIGH",IF(Q1724&gt;=30,"MEDIUM","LOW")))</f>
        <v/>
      </c>
    </row>
    <row r="1725">
      <c r="A1725" t="n">
        <v>1724</v>
      </c>
      <c r="R1725">
        <f>IF(Q1725="","",IF(Q1725&gt;=60,"HIGH",IF(Q1725&gt;=30,"MEDIUM","LOW")))</f>
        <v/>
      </c>
    </row>
    <row r="1726">
      <c r="A1726" t="n">
        <v>1725</v>
      </c>
      <c r="R1726">
        <f>IF(Q1726="","",IF(Q1726&gt;=60,"HIGH",IF(Q1726&gt;=30,"MEDIUM","LOW")))</f>
        <v/>
      </c>
    </row>
    <row r="1727">
      <c r="A1727" t="n">
        <v>1726</v>
      </c>
      <c r="R1727">
        <f>IF(Q1727="","",IF(Q1727&gt;=60,"HIGH",IF(Q1727&gt;=30,"MEDIUM","LOW")))</f>
        <v/>
      </c>
    </row>
    <row r="1728">
      <c r="A1728" t="n">
        <v>1727</v>
      </c>
      <c r="R1728">
        <f>IF(Q1728="","",IF(Q1728&gt;=60,"HIGH",IF(Q1728&gt;=30,"MEDIUM","LOW")))</f>
        <v/>
      </c>
    </row>
    <row r="1729">
      <c r="A1729" t="n">
        <v>1728</v>
      </c>
      <c r="R1729">
        <f>IF(Q1729="","",IF(Q1729&gt;=60,"HIGH",IF(Q1729&gt;=30,"MEDIUM","LOW")))</f>
        <v/>
      </c>
    </row>
    <row r="1730">
      <c r="A1730" t="n">
        <v>1729</v>
      </c>
      <c r="R1730">
        <f>IF(Q1730="","",IF(Q1730&gt;=60,"HIGH",IF(Q1730&gt;=30,"MEDIUM","LOW")))</f>
        <v/>
      </c>
    </row>
    <row r="1731">
      <c r="A1731" t="n">
        <v>1730</v>
      </c>
      <c r="R1731">
        <f>IF(Q1731="","",IF(Q1731&gt;=60,"HIGH",IF(Q1731&gt;=30,"MEDIUM","LOW")))</f>
        <v/>
      </c>
    </row>
    <row r="1732">
      <c r="A1732" t="n">
        <v>1731</v>
      </c>
      <c r="R1732">
        <f>IF(Q1732="","",IF(Q1732&gt;=60,"HIGH",IF(Q1732&gt;=30,"MEDIUM","LOW")))</f>
        <v/>
      </c>
    </row>
    <row r="1733">
      <c r="A1733" t="n">
        <v>1732</v>
      </c>
      <c r="R1733">
        <f>IF(Q1733="","",IF(Q1733&gt;=60,"HIGH",IF(Q1733&gt;=30,"MEDIUM","LOW")))</f>
        <v/>
      </c>
    </row>
    <row r="1734">
      <c r="A1734" t="n">
        <v>1733</v>
      </c>
      <c r="R1734">
        <f>IF(Q1734="","",IF(Q1734&gt;=60,"HIGH",IF(Q1734&gt;=30,"MEDIUM","LOW")))</f>
        <v/>
      </c>
    </row>
    <row r="1735">
      <c r="A1735" t="n">
        <v>1734</v>
      </c>
      <c r="R1735">
        <f>IF(Q1735="","",IF(Q1735&gt;=60,"HIGH",IF(Q1735&gt;=30,"MEDIUM","LOW")))</f>
        <v/>
      </c>
    </row>
    <row r="1736">
      <c r="A1736" t="n">
        <v>1735</v>
      </c>
      <c r="R1736">
        <f>IF(Q1736="","",IF(Q1736&gt;=60,"HIGH",IF(Q1736&gt;=30,"MEDIUM","LOW")))</f>
        <v/>
      </c>
    </row>
    <row r="1737">
      <c r="A1737" t="n">
        <v>1736</v>
      </c>
      <c r="R1737">
        <f>IF(Q1737="","",IF(Q1737&gt;=60,"HIGH",IF(Q1737&gt;=30,"MEDIUM","LOW")))</f>
        <v/>
      </c>
    </row>
    <row r="1738">
      <c r="A1738" t="n">
        <v>1737</v>
      </c>
      <c r="R1738">
        <f>IF(Q1738="","",IF(Q1738&gt;=60,"HIGH",IF(Q1738&gt;=30,"MEDIUM","LOW")))</f>
        <v/>
      </c>
    </row>
    <row r="1739">
      <c r="A1739" t="n">
        <v>1738</v>
      </c>
      <c r="R1739">
        <f>IF(Q1739="","",IF(Q1739&gt;=60,"HIGH",IF(Q1739&gt;=30,"MEDIUM","LOW")))</f>
        <v/>
      </c>
    </row>
    <row r="1740">
      <c r="A1740" t="n">
        <v>1739</v>
      </c>
      <c r="R1740">
        <f>IF(Q1740="","",IF(Q1740&gt;=60,"HIGH",IF(Q1740&gt;=30,"MEDIUM","LOW")))</f>
        <v/>
      </c>
    </row>
    <row r="1741">
      <c r="A1741" t="n">
        <v>1740</v>
      </c>
      <c r="R1741">
        <f>IF(Q1741="","",IF(Q1741&gt;=60,"HIGH",IF(Q1741&gt;=30,"MEDIUM","LOW")))</f>
        <v/>
      </c>
    </row>
    <row r="1742">
      <c r="A1742" t="n">
        <v>1741</v>
      </c>
      <c r="R1742">
        <f>IF(Q1742="","",IF(Q1742&gt;=60,"HIGH",IF(Q1742&gt;=30,"MEDIUM","LOW")))</f>
        <v/>
      </c>
    </row>
    <row r="1743">
      <c r="A1743" t="n">
        <v>1742</v>
      </c>
      <c r="R1743">
        <f>IF(Q1743="","",IF(Q1743&gt;=60,"HIGH",IF(Q1743&gt;=30,"MEDIUM","LOW")))</f>
        <v/>
      </c>
    </row>
    <row r="1744">
      <c r="A1744" t="n">
        <v>1743</v>
      </c>
      <c r="R1744">
        <f>IF(Q1744="","",IF(Q1744&gt;=60,"HIGH",IF(Q1744&gt;=30,"MEDIUM","LOW")))</f>
        <v/>
      </c>
    </row>
    <row r="1745">
      <c r="A1745" t="n">
        <v>1744</v>
      </c>
      <c r="R1745">
        <f>IF(Q1745="","",IF(Q1745&gt;=60,"HIGH",IF(Q1745&gt;=30,"MEDIUM","LOW")))</f>
        <v/>
      </c>
    </row>
    <row r="1746">
      <c r="A1746" t="n">
        <v>1745</v>
      </c>
      <c r="R1746">
        <f>IF(Q1746="","",IF(Q1746&gt;=60,"HIGH",IF(Q1746&gt;=30,"MEDIUM","LOW")))</f>
        <v/>
      </c>
    </row>
    <row r="1747">
      <c r="A1747" t="n">
        <v>1746</v>
      </c>
      <c r="R1747">
        <f>IF(Q1747="","",IF(Q1747&gt;=60,"HIGH",IF(Q1747&gt;=30,"MEDIUM","LOW")))</f>
        <v/>
      </c>
    </row>
    <row r="1748">
      <c r="A1748" t="n">
        <v>1747</v>
      </c>
      <c r="R1748">
        <f>IF(Q1748="","",IF(Q1748&gt;=60,"HIGH",IF(Q1748&gt;=30,"MEDIUM","LOW")))</f>
        <v/>
      </c>
    </row>
    <row r="1749">
      <c r="A1749" t="n">
        <v>1748</v>
      </c>
      <c r="R1749">
        <f>IF(Q1749="","",IF(Q1749&gt;=60,"HIGH",IF(Q1749&gt;=30,"MEDIUM","LOW")))</f>
        <v/>
      </c>
    </row>
    <row r="1750">
      <c r="A1750" t="n">
        <v>1749</v>
      </c>
      <c r="R1750">
        <f>IF(Q1750="","",IF(Q1750&gt;=60,"HIGH",IF(Q1750&gt;=30,"MEDIUM","LOW")))</f>
        <v/>
      </c>
    </row>
    <row r="1751">
      <c r="A1751" t="n">
        <v>1750</v>
      </c>
      <c r="R1751">
        <f>IF(Q1751="","",IF(Q1751&gt;=60,"HIGH",IF(Q1751&gt;=30,"MEDIUM","LOW")))</f>
        <v/>
      </c>
    </row>
    <row r="1752">
      <c r="A1752" t="n">
        <v>1751</v>
      </c>
      <c r="R1752">
        <f>IF(Q1752="","",IF(Q1752&gt;=60,"HIGH",IF(Q1752&gt;=30,"MEDIUM","LOW")))</f>
        <v/>
      </c>
    </row>
    <row r="1753">
      <c r="A1753" t="n">
        <v>1752</v>
      </c>
      <c r="R1753">
        <f>IF(Q1753="","",IF(Q1753&gt;=60,"HIGH",IF(Q1753&gt;=30,"MEDIUM","LOW")))</f>
        <v/>
      </c>
    </row>
    <row r="1754">
      <c r="A1754" t="n">
        <v>1753</v>
      </c>
      <c r="R1754">
        <f>IF(Q1754="","",IF(Q1754&gt;=60,"HIGH",IF(Q1754&gt;=30,"MEDIUM","LOW")))</f>
        <v/>
      </c>
    </row>
    <row r="1755">
      <c r="A1755" t="n">
        <v>1754</v>
      </c>
      <c r="R1755">
        <f>IF(Q1755="","",IF(Q1755&gt;=60,"HIGH",IF(Q1755&gt;=30,"MEDIUM","LOW")))</f>
        <v/>
      </c>
    </row>
    <row r="1756">
      <c r="A1756" t="n">
        <v>1755</v>
      </c>
      <c r="R1756">
        <f>IF(Q1756="","",IF(Q1756&gt;=60,"HIGH",IF(Q1756&gt;=30,"MEDIUM","LOW")))</f>
        <v/>
      </c>
    </row>
    <row r="1757">
      <c r="A1757" t="n">
        <v>1756</v>
      </c>
      <c r="R1757">
        <f>IF(Q1757="","",IF(Q1757&gt;=60,"HIGH",IF(Q1757&gt;=30,"MEDIUM","LOW")))</f>
        <v/>
      </c>
    </row>
    <row r="1758">
      <c r="A1758" t="n">
        <v>1757</v>
      </c>
      <c r="R1758">
        <f>IF(Q1758="","",IF(Q1758&gt;=60,"HIGH",IF(Q1758&gt;=30,"MEDIUM","LOW")))</f>
        <v/>
      </c>
    </row>
    <row r="1759">
      <c r="A1759" t="n">
        <v>1758</v>
      </c>
      <c r="R1759">
        <f>IF(Q1759="","",IF(Q1759&gt;=60,"HIGH",IF(Q1759&gt;=30,"MEDIUM","LOW")))</f>
        <v/>
      </c>
    </row>
    <row r="1760">
      <c r="A1760" t="n">
        <v>1759</v>
      </c>
      <c r="R1760">
        <f>IF(Q1760="","",IF(Q1760&gt;=60,"HIGH",IF(Q1760&gt;=30,"MEDIUM","LOW")))</f>
        <v/>
      </c>
    </row>
    <row r="1761">
      <c r="A1761" t="n">
        <v>1760</v>
      </c>
      <c r="R1761">
        <f>IF(Q1761="","",IF(Q1761&gt;=60,"HIGH",IF(Q1761&gt;=30,"MEDIUM","LOW")))</f>
        <v/>
      </c>
    </row>
    <row r="1762">
      <c r="A1762" t="n">
        <v>1761</v>
      </c>
      <c r="R1762">
        <f>IF(Q1762="","",IF(Q1762&gt;=60,"HIGH",IF(Q1762&gt;=30,"MEDIUM","LOW")))</f>
        <v/>
      </c>
    </row>
    <row r="1763">
      <c r="A1763" t="n">
        <v>1762</v>
      </c>
      <c r="R1763">
        <f>IF(Q1763="","",IF(Q1763&gt;=60,"HIGH",IF(Q1763&gt;=30,"MEDIUM","LOW")))</f>
        <v/>
      </c>
    </row>
    <row r="1764">
      <c r="A1764" t="n">
        <v>1763</v>
      </c>
      <c r="R1764">
        <f>IF(Q1764="","",IF(Q1764&gt;=60,"HIGH",IF(Q1764&gt;=30,"MEDIUM","LOW")))</f>
        <v/>
      </c>
    </row>
    <row r="1765">
      <c r="A1765" t="n">
        <v>1764</v>
      </c>
      <c r="R1765">
        <f>IF(Q1765="","",IF(Q1765&gt;=60,"HIGH",IF(Q1765&gt;=30,"MEDIUM","LOW")))</f>
        <v/>
      </c>
    </row>
    <row r="1766">
      <c r="A1766" t="n">
        <v>1765</v>
      </c>
      <c r="R1766">
        <f>IF(Q1766="","",IF(Q1766&gt;=60,"HIGH",IF(Q1766&gt;=30,"MEDIUM","LOW")))</f>
        <v/>
      </c>
    </row>
    <row r="1767">
      <c r="A1767" t="n">
        <v>1766</v>
      </c>
      <c r="R1767">
        <f>IF(Q1767="","",IF(Q1767&gt;=60,"HIGH",IF(Q1767&gt;=30,"MEDIUM","LOW")))</f>
        <v/>
      </c>
    </row>
    <row r="1768">
      <c r="A1768" t="n">
        <v>1767</v>
      </c>
      <c r="R1768">
        <f>IF(Q1768="","",IF(Q1768&gt;=60,"HIGH",IF(Q1768&gt;=30,"MEDIUM","LOW")))</f>
        <v/>
      </c>
    </row>
    <row r="1769">
      <c r="A1769" t="n">
        <v>1768</v>
      </c>
      <c r="R1769">
        <f>IF(Q1769="","",IF(Q1769&gt;=60,"HIGH",IF(Q1769&gt;=30,"MEDIUM","LOW")))</f>
        <v/>
      </c>
    </row>
    <row r="1770">
      <c r="A1770" t="n">
        <v>1769</v>
      </c>
      <c r="R1770">
        <f>IF(Q1770="","",IF(Q1770&gt;=60,"HIGH",IF(Q1770&gt;=30,"MEDIUM","LOW")))</f>
        <v/>
      </c>
    </row>
    <row r="1771">
      <c r="A1771" t="n">
        <v>1770</v>
      </c>
      <c r="R1771">
        <f>IF(Q1771="","",IF(Q1771&gt;=60,"HIGH",IF(Q1771&gt;=30,"MEDIUM","LOW")))</f>
        <v/>
      </c>
    </row>
    <row r="1772">
      <c r="A1772" t="n">
        <v>1771</v>
      </c>
      <c r="R1772">
        <f>IF(Q1772="","",IF(Q1772&gt;=60,"HIGH",IF(Q1772&gt;=30,"MEDIUM","LOW")))</f>
        <v/>
      </c>
    </row>
    <row r="1773">
      <c r="A1773" t="n">
        <v>1772</v>
      </c>
      <c r="R1773">
        <f>IF(Q1773="","",IF(Q1773&gt;=60,"HIGH",IF(Q1773&gt;=30,"MEDIUM","LOW")))</f>
        <v/>
      </c>
    </row>
    <row r="1774">
      <c r="A1774" t="n">
        <v>1773</v>
      </c>
      <c r="R1774">
        <f>IF(Q1774="","",IF(Q1774&gt;=60,"HIGH",IF(Q1774&gt;=30,"MEDIUM","LOW")))</f>
        <v/>
      </c>
    </row>
    <row r="1775">
      <c r="A1775" t="n">
        <v>1774</v>
      </c>
      <c r="R1775">
        <f>IF(Q1775="","",IF(Q1775&gt;=60,"HIGH",IF(Q1775&gt;=30,"MEDIUM","LOW")))</f>
        <v/>
      </c>
    </row>
    <row r="1776">
      <c r="A1776" t="n">
        <v>1775</v>
      </c>
      <c r="R1776">
        <f>IF(Q1776="","",IF(Q1776&gt;=60,"HIGH",IF(Q1776&gt;=30,"MEDIUM","LOW")))</f>
        <v/>
      </c>
    </row>
    <row r="1777">
      <c r="A1777" t="n">
        <v>1776</v>
      </c>
      <c r="R1777">
        <f>IF(Q1777="","",IF(Q1777&gt;=60,"HIGH",IF(Q1777&gt;=30,"MEDIUM","LOW")))</f>
        <v/>
      </c>
    </row>
    <row r="1778">
      <c r="A1778" t="n">
        <v>1777</v>
      </c>
      <c r="R1778">
        <f>IF(Q1778="","",IF(Q1778&gt;=60,"HIGH",IF(Q1778&gt;=30,"MEDIUM","LOW")))</f>
        <v/>
      </c>
    </row>
    <row r="1779">
      <c r="A1779" t="n">
        <v>1778</v>
      </c>
      <c r="R1779">
        <f>IF(Q1779="","",IF(Q1779&gt;=60,"HIGH",IF(Q1779&gt;=30,"MEDIUM","LOW")))</f>
        <v/>
      </c>
    </row>
    <row r="1780">
      <c r="A1780" t="n">
        <v>1779</v>
      </c>
      <c r="R1780">
        <f>IF(Q1780="","",IF(Q1780&gt;=60,"HIGH",IF(Q1780&gt;=30,"MEDIUM","LOW")))</f>
        <v/>
      </c>
    </row>
    <row r="1781">
      <c r="A1781" t="n">
        <v>1780</v>
      </c>
      <c r="R1781">
        <f>IF(Q1781="","",IF(Q1781&gt;=60,"HIGH",IF(Q1781&gt;=30,"MEDIUM","LOW")))</f>
        <v/>
      </c>
    </row>
    <row r="1782">
      <c r="A1782" t="n">
        <v>1781</v>
      </c>
      <c r="R1782">
        <f>IF(Q1782="","",IF(Q1782&gt;=60,"HIGH",IF(Q1782&gt;=30,"MEDIUM","LOW")))</f>
        <v/>
      </c>
    </row>
    <row r="1783">
      <c r="A1783" t="n">
        <v>1782</v>
      </c>
      <c r="R1783">
        <f>IF(Q1783="","",IF(Q1783&gt;=60,"HIGH",IF(Q1783&gt;=30,"MEDIUM","LOW")))</f>
        <v/>
      </c>
    </row>
    <row r="1784">
      <c r="A1784" t="n">
        <v>1783</v>
      </c>
      <c r="R1784">
        <f>IF(Q1784="","",IF(Q1784&gt;=60,"HIGH",IF(Q1784&gt;=30,"MEDIUM","LOW")))</f>
        <v/>
      </c>
    </row>
    <row r="1785">
      <c r="A1785" t="n">
        <v>1784</v>
      </c>
      <c r="R1785">
        <f>IF(Q1785="","",IF(Q1785&gt;=60,"HIGH",IF(Q1785&gt;=30,"MEDIUM","LOW")))</f>
        <v/>
      </c>
    </row>
    <row r="1786">
      <c r="A1786" t="n">
        <v>1785</v>
      </c>
      <c r="R1786">
        <f>IF(Q1786="","",IF(Q1786&gt;=60,"HIGH",IF(Q1786&gt;=30,"MEDIUM","LOW")))</f>
        <v/>
      </c>
    </row>
    <row r="1787">
      <c r="A1787" t="n">
        <v>1786</v>
      </c>
      <c r="R1787">
        <f>IF(Q1787="","",IF(Q1787&gt;=60,"HIGH",IF(Q1787&gt;=30,"MEDIUM","LOW")))</f>
        <v/>
      </c>
    </row>
    <row r="1788">
      <c r="A1788" t="n">
        <v>1787</v>
      </c>
      <c r="R1788">
        <f>IF(Q1788="","",IF(Q1788&gt;=60,"HIGH",IF(Q1788&gt;=30,"MEDIUM","LOW")))</f>
        <v/>
      </c>
    </row>
    <row r="1789">
      <c r="A1789" t="n">
        <v>1788</v>
      </c>
      <c r="R1789">
        <f>IF(Q1789="","",IF(Q1789&gt;=60,"HIGH",IF(Q1789&gt;=30,"MEDIUM","LOW")))</f>
        <v/>
      </c>
    </row>
    <row r="1790">
      <c r="A1790" t="n">
        <v>1789</v>
      </c>
      <c r="R1790">
        <f>IF(Q1790="","",IF(Q1790&gt;=60,"HIGH",IF(Q1790&gt;=30,"MEDIUM","LOW")))</f>
        <v/>
      </c>
    </row>
    <row r="1791">
      <c r="A1791" t="n">
        <v>1790</v>
      </c>
      <c r="R1791">
        <f>IF(Q1791="","",IF(Q1791&gt;=60,"HIGH",IF(Q1791&gt;=30,"MEDIUM","LOW")))</f>
        <v/>
      </c>
    </row>
    <row r="1792">
      <c r="A1792" t="n">
        <v>1791</v>
      </c>
      <c r="R1792">
        <f>IF(Q1792="","",IF(Q1792&gt;=60,"HIGH",IF(Q1792&gt;=30,"MEDIUM","LOW")))</f>
        <v/>
      </c>
    </row>
    <row r="1793">
      <c r="A1793" t="n">
        <v>1792</v>
      </c>
      <c r="R1793">
        <f>IF(Q1793="","",IF(Q1793&gt;=60,"HIGH",IF(Q1793&gt;=30,"MEDIUM","LOW")))</f>
        <v/>
      </c>
    </row>
    <row r="1794">
      <c r="A1794" t="n">
        <v>1793</v>
      </c>
      <c r="R1794">
        <f>IF(Q1794="","",IF(Q1794&gt;=60,"HIGH",IF(Q1794&gt;=30,"MEDIUM","LOW")))</f>
        <v/>
      </c>
    </row>
    <row r="1795">
      <c r="A1795" t="n">
        <v>1794</v>
      </c>
      <c r="R1795">
        <f>IF(Q1795="","",IF(Q1795&gt;=60,"HIGH",IF(Q1795&gt;=30,"MEDIUM","LOW")))</f>
        <v/>
      </c>
    </row>
    <row r="1796">
      <c r="A1796" t="n">
        <v>1795</v>
      </c>
      <c r="R1796">
        <f>IF(Q1796="","",IF(Q1796&gt;=60,"HIGH",IF(Q1796&gt;=30,"MEDIUM","LOW")))</f>
        <v/>
      </c>
    </row>
    <row r="1797">
      <c r="A1797" t="n">
        <v>1796</v>
      </c>
      <c r="R1797">
        <f>IF(Q1797="","",IF(Q1797&gt;=60,"HIGH",IF(Q1797&gt;=30,"MEDIUM","LOW")))</f>
        <v/>
      </c>
    </row>
    <row r="1798">
      <c r="A1798" t="n">
        <v>1797</v>
      </c>
      <c r="R1798">
        <f>IF(Q1798="","",IF(Q1798&gt;=60,"HIGH",IF(Q1798&gt;=30,"MEDIUM","LOW")))</f>
        <v/>
      </c>
    </row>
    <row r="1799">
      <c r="A1799" t="n">
        <v>1798</v>
      </c>
      <c r="R1799">
        <f>IF(Q1799="","",IF(Q1799&gt;=60,"HIGH",IF(Q1799&gt;=30,"MEDIUM","LOW")))</f>
        <v/>
      </c>
    </row>
    <row r="1800">
      <c r="A1800" t="n">
        <v>1799</v>
      </c>
      <c r="R1800">
        <f>IF(Q1800="","",IF(Q1800&gt;=60,"HIGH",IF(Q1800&gt;=30,"MEDIUM","LOW")))</f>
        <v/>
      </c>
    </row>
    <row r="1801">
      <c r="A1801" t="n">
        <v>1800</v>
      </c>
      <c r="R1801">
        <f>IF(Q1801="","",IF(Q1801&gt;=60,"HIGH",IF(Q1801&gt;=30,"MEDIUM","LOW")))</f>
        <v/>
      </c>
    </row>
    <row r="1802">
      <c r="A1802" t="n">
        <v>1801</v>
      </c>
      <c r="R1802">
        <f>IF(Q1802="","",IF(Q1802&gt;=60,"HIGH",IF(Q1802&gt;=30,"MEDIUM","LOW")))</f>
        <v/>
      </c>
    </row>
    <row r="1803">
      <c r="A1803" t="n">
        <v>1802</v>
      </c>
      <c r="R1803">
        <f>IF(Q1803="","",IF(Q1803&gt;=60,"HIGH",IF(Q1803&gt;=30,"MEDIUM","LOW")))</f>
        <v/>
      </c>
    </row>
    <row r="1804">
      <c r="A1804" t="n">
        <v>1803</v>
      </c>
      <c r="R1804">
        <f>IF(Q1804="","",IF(Q1804&gt;=60,"HIGH",IF(Q1804&gt;=30,"MEDIUM","LOW")))</f>
        <v/>
      </c>
    </row>
    <row r="1805">
      <c r="A1805" t="n">
        <v>1804</v>
      </c>
      <c r="R1805">
        <f>IF(Q1805="","",IF(Q1805&gt;=60,"HIGH",IF(Q1805&gt;=30,"MEDIUM","LOW")))</f>
        <v/>
      </c>
    </row>
    <row r="1806">
      <c r="A1806" t="n">
        <v>1805</v>
      </c>
      <c r="R1806">
        <f>IF(Q1806="","",IF(Q1806&gt;=60,"HIGH",IF(Q1806&gt;=30,"MEDIUM","LOW")))</f>
        <v/>
      </c>
    </row>
    <row r="1807">
      <c r="A1807" t="n">
        <v>1806</v>
      </c>
      <c r="R1807">
        <f>IF(Q1807="","",IF(Q1807&gt;=60,"HIGH",IF(Q1807&gt;=30,"MEDIUM","LOW")))</f>
        <v/>
      </c>
    </row>
    <row r="1808">
      <c r="A1808" t="n">
        <v>1807</v>
      </c>
      <c r="R1808">
        <f>IF(Q1808="","",IF(Q1808&gt;=60,"HIGH",IF(Q1808&gt;=30,"MEDIUM","LOW")))</f>
        <v/>
      </c>
    </row>
    <row r="1809">
      <c r="A1809" t="n">
        <v>1808</v>
      </c>
      <c r="R1809">
        <f>IF(Q1809="","",IF(Q1809&gt;=60,"HIGH",IF(Q1809&gt;=30,"MEDIUM","LOW")))</f>
        <v/>
      </c>
    </row>
    <row r="1810">
      <c r="A1810" t="n">
        <v>1809</v>
      </c>
      <c r="R1810">
        <f>IF(Q1810="","",IF(Q1810&gt;=60,"HIGH",IF(Q1810&gt;=30,"MEDIUM","LOW")))</f>
        <v/>
      </c>
    </row>
    <row r="1811">
      <c r="A1811" t="n">
        <v>1810</v>
      </c>
      <c r="R1811">
        <f>IF(Q1811="","",IF(Q1811&gt;=60,"HIGH",IF(Q1811&gt;=30,"MEDIUM","LOW")))</f>
        <v/>
      </c>
    </row>
    <row r="1812">
      <c r="A1812" t="n">
        <v>1811</v>
      </c>
      <c r="R1812">
        <f>IF(Q1812="","",IF(Q1812&gt;=60,"HIGH",IF(Q1812&gt;=30,"MEDIUM","LOW")))</f>
        <v/>
      </c>
    </row>
    <row r="1813">
      <c r="A1813" t="n">
        <v>1812</v>
      </c>
      <c r="R1813">
        <f>IF(Q1813="","",IF(Q1813&gt;=60,"HIGH",IF(Q1813&gt;=30,"MEDIUM","LOW")))</f>
        <v/>
      </c>
    </row>
    <row r="1814">
      <c r="A1814" t="n">
        <v>1813</v>
      </c>
      <c r="R1814">
        <f>IF(Q1814="","",IF(Q1814&gt;=60,"HIGH",IF(Q1814&gt;=30,"MEDIUM","LOW")))</f>
        <v/>
      </c>
    </row>
    <row r="1815">
      <c r="A1815" t="n">
        <v>1814</v>
      </c>
      <c r="R1815">
        <f>IF(Q1815="","",IF(Q1815&gt;=60,"HIGH",IF(Q1815&gt;=30,"MEDIUM","LOW")))</f>
        <v/>
      </c>
    </row>
    <row r="1816">
      <c r="A1816" t="n">
        <v>1815</v>
      </c>
      <c r="R1816">
        <f>IF(Q1816="","",IF(Q1816&gt;=60,"HIGH",IF(Q1816&gt;=30,"MEDIUM","LOW")))</f>
        <v/>
      </c>
    </row>
    <row r="1817">
      <c r="A1817" t="n">
        <v>1816</v>
      </c>
      <c r="R1817">
        <f>IF(Q1817="","",IF(Q1817&gt;=60,"HIGH",IF(Q1817&gt;=30,"MEDIUM","LOW")))</f>
        <v/>
      </c>
    </row>
    <row r="1818">
      <c r="A1818" t="n">
        <v>1817</v>
      </c>
      <c r="R1818">
        <f>IF(Q1818="","",IF(Q1818&gt;=60,"HIGH",IF(Q1818&gt;=30,"MEDIUM","LOW")))</f>
        <v/>
      </c>
    </row>
    <row r="1819">
      <c r="A1819" t="n">
        <v>1818</v>
      </c>
      <c r="R1819">
        <f>IF(Q1819="","",IF(Q1819&gt;=60,"HIGH",IF(Q1819&gt;=30,"MEDIUM","LOW")))</f>
        <v/>
      </c>
    </row>
    <row r="1820">
      <c r="A1820" t="n">
        <v>1819</v>
      </c>
      <c r="R1820">
        <f>IF(Q1820="","",IF(Q1820&gt;=60,"HIGH",IF(Q1820&gt;=30,"MEDIUM","LOW")))</f>
        <v/>
      </c>
    </row>
    <row r="1821">
      <c r="A1821" t="n">
        <v>1820</v>
      </c>
      <c r="R1821">
        <f>IF(Q1821="","",IF(Q1821&gt;=60,"HIGH",IF(Q1821&gt;=30,"MEDIUM","LOW")))</f>
        <v/>
      </c>
    </row>
    <row r="1822">
      <c r="A1822" t="n">
        <v>1821</v>
      </c>
      <c r="R1822">
        <f>IF(Q1822="","",IF(Q1822&gt;=60,"HIGH",IF(Q1822&gt;=30,"MEDIUM","LOW")))</f>
        <v/>
      </c>
    </row>
    <row r="1823">
      <c r="A1823" t="n">
        <v>1822</v>
      </c>
      <c r="R1823">
        <f>IF(Q1823="","",IF(Q1823&gt;=60,"HIGH",IF(Q1823&gt;=30,"MEDIUM","LOW")))</f>
        <v/>
      </c>
    </row>
    <row r="1824">
      <c r="A1824" t="n">
        <v>1823</v>
      </c>
      <c r="R1824">
        <f>IF(Q1824="","",IF(Q1824&gt;=60,"HIGH",IF(Q1824&gt;=30,"MEDIUM","LOW")))</f>
        <v/>
      </c>
    </row>
    <row r="1825">
      <c r="A1825" t="n">
        <v>1824</v>
      </c>
      <c r="R1825">
        <f>IF(Q1825="","",IF(Q1825&gt;=60,"HIGH",IF(Q1825&gt;=30,"MEDIUM","LOW")))</f>
        <v/>
      </c>
    </row>
    <row r="1826">
      <c r="A1826" t="n">
        <v>1825</v>
      </c>
      <c r="R1826">
        <f>IF(Q1826="","",IF(Q1826&gt;=60,"HIGH",IF(Q1826&gt;=30,"MEDIUM","LOW")))</f>
        <v/>
      </c>
    </row>
    <row r="1827">
      <c r="A1827" t="n">
        <v>1826</v>
      </c>
      <c r="R1827">
        <f>IF(Q1827="","",IF(Q1827&gt;=60,"HIGH",IF(Q1827&gt;=30,"MEDIUM","LOW")))</f>
        <v/>
      </c>
    </row>
    <row r="1828">
      <c r="A1828" t="n">
        <v>1827</v>
      </c>
      <c r="R1828">
        <f>IF(Q1828="","",IF(Q1828&gt;=60,"HIGH",IF(Q1828&gt;=30,"MEDIUM","LOW")))</f>
        <v/>
      </c>
    </row>
    <row r="1829">
      <c r="A1829" t="n">
        <v>1828</v>
      </c>
      <c r="R1829">
        <f>IF(Q1829="","",IF(Q1829&gt;=60,"HIGH",IF(Q1829&gt;=30,"MEDIUM","LOW")))</f>
        <v/>
      </c>
    </row>
    <row r="1830">
      <c r="A1830" t="n">
        <v>1829</v>
      </c>
      <c r="R1830">
        <f>IF(Q1830="","",IF(Q1830&gt;=60,"HIGH",IF(Q1830&gt;=30,"MEDIUM","LOW")))</f>
        <v/>
      </c>
    </row>
    <row r="1831">
      <c r="A1831" t="n">
        <v>1830</v>
      </c>
      <c r="R1831">
        <f>IF(Q1831="","",IF(Q1831&gt;=60,"HIGH",IF(Q1831&gt;=30,"MEDIUM","LOW")))</f>
        <v/>
      </c>
    </row>
    <row r="1832">
      <c r="A1832" t="n">
        <v>1831</v>
      </c>
      <c r="R1832">
        <f>IF(Q1832="","",IF(Q1832&gt;=60,"HIGH",IF(Q1832&gt;=30,"MEDIUM","LOW")))</f>
        <v/>
      </c>
    </row>
    <row r="1833">
      <c r="A1833" t="n">
        <v>1832</v>
      </c>
      <c r="R1833">
        <f>IF(Q1833="","",IF(Q1833&gt;=60,"HIGH",IF(Q1833&gt;=30,"MEDIUM","LOW")))</f>
        <v/>
      </c>
    </row>
    <row r="1834">
      <c r="A1834" t="n">
        <v>1833</v>
      </c>
      <c r="R1834">
        <f>IF(Q1834="","",IF(Q1834&gt;=60,"HIGH",IF(Q1834&gt;=30,"MEDIUM","LOW")))</f>
        <v/>
      </c>
    </row>
    <row r="1835">
      <c r="A1835" t="n">
        <v>1834</v>
      </c>
      <c r="R1835">
        <f>IF(Q1835="","",IF(Q1835&gt;=60,"HIGH",IF(Q1835&gt;=30,"MEDIUM","LOW")))</f>
        <v/>
      </c>
    </row>
    <row r="1836">
      <c r="A1836" t="n">
        <v>1835</v>
      </c>
      <c r="R1836">
        <f>IF(Q1836="","",IF(Q1836&gt;=60,"HIGH",IF(Q1836&gt;=30,"MEDIUM","LOW")))</f>
        <v/>
      </c>
    </row>
    <row r="1837">
      <c r="A1837" t="n">
        <v>1836</v>
      </c>
      <c r="R1837">
        <f>IF(Q1837="","",IF(Q1837&gt;=60,"HIGH",IF(Q1837&gt;=30,"MEDIUM","LOW")))</f>
        <v/>
      </c>
    </row>
    <row r="1838">
      <c r="A1838" t="n">
        <v>1837</v>
      </c>
      <c r="R1838">
        <f>IF(Q1838="","",IF(Q1838&gt;=60,"HIGH",IF(Q1838&gt;=30,"MEDIUM","LOW")))</f>
        <v/>
      </c>
    </row>
    <row r="1839">
      <c r="A1839" t="n">
        <v>1838</v>
      </c>
      <c r="R1839">
        <f>IF(Q1839="","",IF(Q1839&gt;=60,"HIGH",IF(Q1839&gt;=30,"MEDIUM","LOW")))</f>
        <v/>
      </c>
    </row>
    <row r="1840">
      <c r="A1840" t="n">
        <v>1839</v>
      </c>
      <c r="R1840">
        <f>IF(Q1840="","",IF(Q1840&gt;=60,"HIGH",IF(Q1840&gt;=30,"MEDIUM","LOW")))</f>
        <v/>
      </c>
    </row>
    <row r="1841">
      <c r="A1841" t="n">
        <v>1840</v>
      </c>
      <c r="R1841">
        <f>IF(Q1841="","",IF(Q1841&gt;=60,"HIGH",IF(Q1841&gt;=30,"MEDIUM","LOW")))</f>
        <v/>
      </c>
    </row>
    <row r="1842">
      <c r="A1842" t="n">
        <v>1841</v>
      </c>
      <c r="R1842">
        <f>IF(Q1842="","",IF(Q1842&gt;=60,"HIGH",IF(Q1842&gt;=30,"MEDIUM","LOW")))</f>
        <v/>
      </c>
    </row>
    <row r="1843">
      <c r="A1843" t="n">
        <v>1842</v>
      </c>
      <c r="R1843">
        <f>IF(Q1843="","",IF(Q1843&gt;=60,"HIGH",IF(Q1843&gt;=30,"MEDIUM","LOW")))</f>
        <v/>
      </c>
    </row>
    <row r="1844">
      <c r="A1844" t="n">
        <v>1843</v>
      </c>
      <c r="R1844">
        <f>IF(Q1844="","",IF(Q1844&gt;=60,"HIGH",IF(Q1844&gt;=30,"MEDIUM","LOW")))</f>
        <v/>
      </c>
    </row>
    <row r="1845">
      <c r="A1845" t="n">
        <v>1844</v>
      </c>
      <c r="R1845">
        <f>IF(Q1845="","",IF(Q1845&gt;=60,"HIGH",IF(Q1845&gt;=30,"MEDIUM","LOW")))</f>
        <v/>
      </c>
    </row>
    <row r="1846">
      <c r="A1846" t="n">
        <v>1845</v>
      </c>
      <c r="R1846">
        <f>IF(Q1846="","",IF(Q1846&gt;=60,"HIGH",IF(Q1846&gt;=30,"MEDIUM","LOW")))</f>
        <v/>
      </c>
    </row>
    <row r="1847">
      <c r="A1847" t="n">
        <v>1846</v>
      </c>
      <c r="R1847">
        <f>IF(Q1847="","",IF(Q1847&gt;=60,"HIGH",IF(Q1847&gt;=30,"MEDIUM","LOW")))</f>
        <v/>
      </c>
    </row>
    <row r="1848">
      <c r="A1848" t="n">
        <v>1847</v>
      </c>
      <c r="R1848">
        <f>IF(Q1848="","",IF(Q1848&gt;=60,"HIGH",IF(Q1848&gt;=30,"MEDIUM","LOW")))</f>
        <v/>
      </c>
    </row>
    <row r="1849">
      <c r="A1849" t="n">
        <v>1848</v>
      </c>
      <c r="R1849">
        <f>IF(Q1849="","",IF(Q1849&gt;=60,"HIGH",IF(Q1849&gt;=30,"MEDIUM","LOW")))</f>
        <v/>
      </c>
    </row>
    <row r="1850">
      <c r="A1850" t="n">
        <v>1849</v>
      </c>
      <c r="R1850">
        <f>IF(Q1850="","",IF(Q1850&gt;=60,"HIGH",IF(Q1850&gt;=30,"MEDIUM","LOW")))</f>
        <v/>
      </c>
    </row>
    <row r="1851">
      <c r="A1851" t="n">
        <v>1850</v>
      </c>
      <c r="R1851">
        <f>IF(Q1851="","",IF(Q1851&gt;=60,"HIGH",IF(Q1851&gt;=30,"MEDIUM","LOW")))</f>
        <v/>
      </c>
    </row>
    <row r="1852">
      <c r="A1852" t="n">
        <v>1851</v>
      </c>
      <c r="R1852">
        <f>IF(Q1852="","",IF(Q1852&gt;=60,"HIGH",IF(Q1852&gt;=30,"MEDIUM","LOW")))</f>
        <v/>
      </c>
    </row>
    <row r="1853">
      <c r="A1853" t="n">
        <v>1852</v>
      </c>
      <c r="R1853">
        <f>IF(Q1853="","",IF(Q1853&gt;=60,"HIGH",IF(Q1853&gt;=30,"MEDIUM","LOW")))</f>
        <v/>
      </c>
    </row>
    <row r="1854">
      <c r="A1854" t="n">
        <v>1853</v>
      </c>
      <c r="R1854">
        <f>IF(Q1854="","",IF(Q1854&gt;=60,"HIGH",IF(Q1854&gt;=30,"MEDIUM","LOW")))</f>
        <v/>
      </c>
    </row>
    <row r="1855">
      <c r="A1855" t="n">
        <v>1854</v>
      </c>
      <c r="R1855">
        <f>IF(Q1855="","",IF(Q1855&gt;=60,"HIGH",IF(Q1855&gt;=30,"MEDIUM","LOW")))</f>
        <v/>
      </c>
    </row>
    <row r="1856">
      <c r="A1856" t="n">
        <v>1855</v>
      </c>
      <c r="R1856">
        <f>IF(Q1856="","",IF(Q1856&gt;=60,"HIGH",IF(Q1856&gt;=30,"MEDIUM","LOW")))</f>
        <v/>
      </c>
    </row>
    <row r="1857">
      <c r="A1857" t="n">
        <v>1856</v>
      </c>
      <c r="R1857">
        <f>IF(Q1857="","",IF(Q1857&gt;=60,"HIGH",IF(Q1857&gt;=30,"MEDIUM","LOW")))</f>
        <v/>
      </c>
    </row>
    <row r="1858">
      <c r="A1858" t="n">
        <v>1857</v>
      </c>
      <c r="R1858">
        <f>IF(Q1858="","",IF(Q1858&gt;=60,"HIGH",IF(Q1858&gt;=30,"MEDIUM","LOW")))</f>
        <v/>
      </c>
    </row>
    <row r="1859">
      <c r="A1859" t="n">
        <v>1858</v>
      </c>
      <c r="R1859">
        <f>IF(Q1859="","",IF(Q1859&gt;=60,"HIGH",IF(Q1859&gt;=30,"MEDIUM","LOW")))</f>
        <v/>
      </c>
    </row>
    <row r="1860">
      <c r="A1860" t="n">
        <v>1859</v>
      </c>
      <c r="R1860">
        <f>IF(Q1860="","",IF(Q1860&gt;=60,"HIGH",IF(Q1860&gt;=30,"MEDIUM","LOW")))</f>
        <v/>
      </c>
    </row>
    <row r="1861">
      <c r="A1861" t="n">
        <v>1860</v>
      </c>
      <c r="R1861">
        <f>IF(Q1861="","",IF(Q1861&gt;=60,"HIGH",IF(Q1861&gt;=30,"MEDIUM","LOW")))</f>
        <v/>
      </c>
    </row>
    <row r="1862">
      <c r="A1862" t="n">
        <v>1861</v>
      </c>
      <c r="R1862">
        <f>IF(Q1862="","",IF(Q1862&gt;=60,"HIGH",IF(Q1862&gt;=30,"MEDIUM","LOW")))</f>
        <v/>
      </c>
    </row>
    <row r="1863">
      <c r="A1863" t="n">
        <v>1862</v>
      </c>
      <c r="R1863">
        <f>IF(Q1863="","",IF(Q1863&gt;=60,"HIGH",IF(Q1863&gt;=30,"MEDIUM","LOW")))</f>
        <v/>
      </c>
    </row>
    <row r="1864">
      <c r="A1864" t="n">
        <v>1863</v>
      </c>
      <c r="R1864">
        <f>IF(Q1864="","",IF(Q1864&gt;=60,"HIGH",IF(Q1864&gt;=30,"MEDIUM","LOW")))</f>
        <v/>
      </c>
    </row>
    <row r="1865">
      <c r="A1865" t="n">
        <v>1864</v>
      </c>
      <c r="R1865">
        <f>IF(Q1865="","",IF(Q1865&gt;=60,"HIGH",IF(Q1865&gt;=30,"MEDIUM","LOW")))</f>
        <v/>
      </c>
    </row>
    <row r="1866">
      <c r="A1866" t="n">
        <v>1865</v>
      </c>
      <c r="R1866">
        <f>IF(Q1866="","",IF(Q1866&gt;=60,"HIGH",IF(Q1866&gt;=30,"MEDIUM","LOW")))</f>
        <v/>
      </c>
    </row>
    <row r="1867">
      <c r="A1867" t="n">
        <v>1866</v>
      </c>
      <c r="R1867">
        <f>IF(Q1867="","",IF(Q1867&gt;=60,"HIGH",IF(Q1867&gt;=30,"MEDIUM","LOW")))</f>
        <v/>
      </c>
    </row>
    <row r="1868">
      <c r="A1868" t="n">
        <v>1867</v>
      </c>
      <c r="R1868">
        <f>IF(Q1868="","",IF(Q1868&gt;=60,"HIGH",IF(Q1868&gt;=30,"MEDIUM","LOW")))</f>
        <v/>
      </c>
    </row>
    <row r="1869">
      <c r="A1869" t="n">
        <v>1868</v>
      </c>
      <c r="R1869">
        <f>IF(Q1869="","",IF(Q1869&gt;=60,"HIGH",IF(Q1869&gt;=30,"MEDIUM","LOW")))</f>
        <v/>
      </c>
    </row>
    <row r="1870">
      <c r="A1870" t="n">
        <v>1869</v>
      </c>
      <c r="R1870">
        <f>IF(Q1870="","",IF(Q1870&gt;=60,"HIGH",IF(Q1870&gt;=30,"MEDIUM","LOW")))</f>
        <v/>
      </c>
    </row>
    <row r="1871">
      <c r="A1871" t="n">
        <v>1870</v>
      </c>
      <c r="R1871">
        <f>IF(Q1871="","",IF(Q1871&gt;=60,"HIGH",IF(Q1871&gt;=30,"MEDIUM","LOW")))</f>
        <v/>
      </c>
    </row>
    <row r="1872">
      <c r="A1872" t="n">
        <v>1871</v>
      </c>
      <c r="R1872">
        <f>IF(Q1872="","",IF(Q1872&gt;=60,"HIGH",IF(Q1872&gt;=30,"MEDIUM","LOW")))</f>
        <v/>
      </c>
    </row>
    <row r="1873">
      <c r="A1873" t="n">
        <v>1872</v>
      </c>
      <c r="R1873">
        <f>IF(Q1873="","",IF(Q1873&gt;=60,"HIGH",IF(Q1873&gt;=30,"MEDIUM","LOW")))</f>
        <v/>
      </c>
    </row>
    <row r="1874">
      <c r="A1874" t="n">
        <v>1873</v>
      </c>
      <c r="R1874">
        <f>IF(Q1874="","",IF(Q1874&gt;=60,"HIGH",IF(Q1874&gt;=30,"MEDIUM","LOW")))</f>
        <v/>
      </c>
    </row>
    <row r="1875">
      <c r="A1875" t="n">
        <v>1874</v>
      </c>
      <c r="R1875">
        <f>IF(Q1875="","",IF(Q1875&gt;=60,"HIGH",IF(Q1875&gt;=30,"MEDIUM","LOW")))</f>
        <v/>
      </c>
    </row>
    <row r="1876">
      <c r="A1876" t="n">
        <v>1875</v>
      </c>
      <c r="R1876">
        <f>IF(Q1876="","",IF(Q1876&gt;=60,"HIGH",IF(Q1876&gt;=30,"MEDIUM","LOW")))</f>
        <v/>
      </c>
    </row>
    <row r="1877">
      <c r="A1877" t="n">
        <v>1876</v>
      </c>
      <c r="R1877">
        <f>IF(Q1877="","",IF(Q1877&gt;=60,"HIGH",IF(Q1877&gt;=30,"MEDIUM","LOW")))</f>
        <v/>
      </c>
    </row>
    <row r="1878">
      <c r="A1878" t="n">
        <v>1877</v>
      </c>
      <c r="R1878">
        <f>IF(Q1878="","",IF(Q1878&gt;=60,"HIGH",IF(Q1878&gt;=30,"MEDIUM","LOW")))</f>
        <v/>
      </c>
    </row>
    <row r="1879">
      <c r="A1879" t="n">
        <v>1878</v>
      </c>
      <c r="R1879">
        <f>IF(Q1879="","",IF(Q1879&gt;=60,"HIGH",IF(Q1879&gt;=30,"MEDIUM","LOW")))</f>
        <v/>
      </c>
    </row>
    <row r="1880">
      <c r="A1880" t="n">
        <v>1879</v>
      </c>
      <c r="R1880">
        <f>IF(Q1880="","",IF(Q1880&gt;=60,"HIGH",IF(Q1880&gt;=30,"MEDIUM","LOW")))</f>
        <v/>
      </c>
    </row>
    <row r="1881">
      <c r="A1881" t="n">
        <v>1880</v>
      </c>
      <c r="R1881">
        <f>IF(Q1881="","",IF(Q1881&gt;=60,"HIGH",IF(Q1881&gt;=30,"MEDIUM","LOW")))</f>
        <v/>
      </c>
    </row>
    <row r="1882">
      <c r="A1882" t="n">
        <v>1881</v>
      </c>
      <c r="R1882">
        <f>IF(Q1882="","",IF(Q1882&gt;=60,"HIGH",IF(Q1882&gt;=30,"MEDIUM","LOW")))</f>
        <v/>
      </c>
    </row>
    <row r="1883">
      <c r="A1883" t="n">
        <v>1882</v>
      </c>
      <c r="R1883">
        <f>IF(Q1883="","",IF(Q1883&gt;=60,"HIGH",IF(Q1883&gt;=30,"MEDIUM","LOW")))</f>
        <v/>
      </c>
    </row>
    <row r="1884">
      <c r="A1884" t="n">
        <v>1883</v>
      </c>
      <c r="R1884">
        <f>IF(Q1884="","",IF(Q1884&gt;=60,"HIGH",IF(Q1884&gt;=30,"MEDIUM","LOW")))</f>
        <v/>
      </c>
    </row>
    <row r="1885">
      <c r="A1885" t="n">
        <v>1884</v>
      </c>
      <c r="R1885">
        <f>IF(Q1885="","",IF(Q1885&gt;=60,"HIGH",IF(Q1885&gt;=30,"MEDIUM","LOW")))</f>
        <v/>
      </c>
    </row>
    <row r="1886">
      <c r="A1886" t="n">
        <v>1885</v>
      </c>
      <c r="R1886">
        <f>IF(Q1886="","",IF(Q1886&gt;=60,"HIGH",IF(Q1886&gt;=30,"MEDIUM","LOW")))</f>
        <v/>
      </c>
    </row>
    <row r="1887">
      <c r="A1887" t="n">
        <v>1886</v>
      </c>
      <c r="R1887">
        <f>IF(Q1887="","",IF(Q1887&gt;=60,"HIGH",IF(Q1887&gt;=30,"MEDIUM","LOW")))</f>
        <v/>
      </c>
    </row>
    <row r="1888">
      <c r="A1888" t="n">
        <v>1887</v>
      </c>
      <c r="R1888">
        <f>IF(Q1888="","",IF(Q1888&gt;=60,"HIGH",IF(Q1888&gt;=30,"MEDIUM","LOW")))</f>
        <v/>
      </c>
    </row>
    <row r="1889">
      <c r="A1889" t="n">
        <v>1888</v>
      </c>
      <c r="R1889">
        <f>IF(Q1889="","",IF(Q1889&gt;=60,"HIGH",IF(Q1889&gt;=30,"MEDIUM","LOW")))</f>
        <v/>
      </c>
    </row>
    <row r="1890">
      <c r="A1890" t="n">
        <v>1889</v>
      </c>
      <c r="R1890">
        <f>IF(Q1890="","",IF(Q1890&gt;=60,"HIGH",IF(Q1890&gt;=30,"MEDIUM","LOW")))</f>
        <v/>
      </c>
    </row>
    <row r="1891">
      <c r="A1891" t="n">
        <v>1890</v>
      </c>
      <c r="R1891">
        <f>IF(Q1891="","",IF(Q1891&gt;=60,"HIGH",IF(Q1891&gt;=30,"MEDIUM","LOW")))</f>
        <v/>
      </c>
    </row>
    <row r="1892">
      <c r="A1892" t="n">
        <v>1891</v>
      </c>
      <c r="R1892">
        <f>IF(Q1892="","",IF(Q1892&gt;=60,"HIGH",IF(Q1892&gt;=30,"MEDIUM","LOW")))</f>
        <v/>
      </c>
    </row>
    <row r="1893">
      <c r="A1893" t="n">
        <v>1892</v>
      </c>
      <c r="R1893">
        <f>IF(Q1893="","",IF(Q1893&gt;=60,"HIGH",IF(Q1893&gt;=30,"MEDIUM","LOW")))</f>
        <v/>
      </c>
    </row>
    <row r="1894">
      <c r="A1894" t="n">
        <v>1893</v>
      </c>
      <c r="R1894">
        <f>IF(Q1894="","",IF(Q1894&gt;=60,"HIGH",IF(Q1894&gt;=30,"MEDIUM","LOW")))</f>
        <v/>
      </c>
    </row>
    <row r="1895">
      <c r="A1895" t="n">
        <v>1894</v>
      </c>
      <c r="R1895">
        <f>IF(Q1895="","",IF(Q1895&gt;=60,"HIGH",IF(Q1895&gt;=30,"MEDIUM","LOW")))</f>
        <v/>
      </c>
    </row>
    <row r="1896">
      <c r="A1896" t="n">
        <v>1895</v>
      </c>
      <c r="R1896">
        <f>IF(Q1896="","",IF(Q1896&gt;=60,"HIGH",IF(Q1896&gt;=30,"MEDIUM","LOW")))</f>
        <v/>
      </c>
    </row>
    <row r="1897">
      <c r="A1897" t="n">
        <v>1896</v>
      </c>
      <c r="R1897">
        <f>IF(Q1897="","",IF(Q1897&gt;=60,"HIGH",IF(Q1897&gt;=30,"MEDIUM","LOW")))</f>
        <v/>
      </c>
    </row>
    <row r="1898">
      <c r="A1898" t="n">
        <v>1897</v>
      </c>
      <c r="R1898">
        <f>IF(Q1898="","",IF(Q1898&gt;=60,"HIGH",IF(Q1898&gt;=30,"MEDIUM","LOW")))</f>
        <v/>
      </c>
    </row>
    <row r="1899">
      <c r="A1899" t="n">
        <v>1898</v>
      </c>
      <c r="R1899">
        <f>IF(Q1899="","",IF(Q1899&gt;=60,"HIGH",IF(Q1899&gt;=30,"MEDIUM","LOW")))</f>
        <v/>
      </c>
    </row>
    <row r="1900">
      <c r="A1900" t="n">
        <v>1899</v>
      </c>
      <c r="R1900">
        <f>IF(Q1900="","",IF(Q1900&gt;=60,"HIGH",IF(Q1900&gt;=30,"MEDIUM","LOW")))</f>
        <v/>
      </c>
    </row>
    <row r="1901">
      <c r="A1901" t="n">
        <v>1900</v>
      </c>
      <c r="R1901">
        <f>IF(Q1901="","",IF(Q1901&gt;=60,"HIGH",IF(Q1901&gt;=30,"MEDIUM","LOW")))</f>
        <v/>
      </c>
    </row>
    <row r="1902">
      <c r="A1902" t="n">
        <v>1901</v>
      </c>
      <c r="R1902">
        <f>IF(Q1902="","",IF(Q1902&gt;=60,"HIGH",IF(Q1902&gt;=30,"MEDIUM","LOW")))</f>
        <v/>
      </c>
    </row>
    <row r="1903">
      <c r="A1903" t="n">
        <v>1902</v>
      </c>
      <c r="R1903">
        <f>IF(Q1903="","",IF(Q1903&gt;=60,"HIGH",IF(Q1903&gt;=30,"MEDIUM","LOW")))</f>
        <v/>
      </c>
    </row>
    <row r="1904">
      <c r="A1904" t="n">
        <v>1903</v>
      </c>
      <c r="R1904">
        <f>IF(Q1904="","",IF(Q1904&gt;=60,"HIGH",IF(Q1904&gt;=30,"MEDIUM","LOW")))</f>
        <v/>
      </c>
    </row>
    <row r="1905">
      <c r="A1905" t="n">
        <v>1904</v>
      </c>
      <c r="R1905">
        <f>IF(Q1905="","",IF(Q1905&gt;=60,"HIGH",IF(Q1905&gt;=30,"MEDIUM","LOW")))</f>
        <v/>
      </c>
    </row>
    <row r="1906">
      <c r="A1906" t="n">
        <v>1905</v>
      </c>
      <c r="R1906">
        <f>IF(Q1906="","",IF(Q1906&gt;=60,"HIGH",IF(Q1906&gt;=30,"MEDIUM","LOW")))</f>
        <v/>
      </c>
    </row>
    <row r="1907">
      <c r="A1907" t="n">
        <v>1906</v>
      </c>
      <c r="R1907">
        <f>IF(Q1907="","",IF(Q1907&gt;=60,"HIGH",IF(Q1907&gt;=30,"MEDIUM","LOW")))</f>
        <v/>
      </c>
    </row>
    <row r="1908">
      <c r="A1908" t="n">
        <v>1907</v>
      </c>
      <c r="R1908">
        <f>IF(Q1908="","",IF(Q1908&gt;=60,"HIGH",IF(Q1908&gt;=30,"MEDIUM","LOW")))</f>
        <v/>
      </c>
    </row>
    <row r="1909">
      <c r="A1909" t="n">
        <v>1908</v>
      </c>
      <c r="R1909">
        <f>IF(Q1909="","",IF(Q1909&gt;=60,"HIGH",IF(Q1909&gt;=30,"MEDIUM","LOW")))</f>
        <v/>
      </c>
    </row>
    <row r="1910">
      <c r="A1910" t="n">
        <v>1909</v>
      </c>
      <c r="R1910">
        <f>IF(Q1910="","",IF(Q1910&gt;=60,"HIGH",IF(Q1910&gt;=30,"MEDIUM","LOW")))</f>
        <v/>
      </c>
    </row>
    <row r="1911">
      <c r="A1911" t="n">
        <v>1910</v>
      </c>
      <c r="R1911">
        <f>IF(Q1911="","",IF(Q1911&gt;=60,"HIGH",IF(Q1911&gt;=30,"MEDIUM","LOW")))</f>
        <v/>
      </c>
    </row>
    <row r="1912">
      <c r="A1912" t="n">
        <v>1911</v>
      </c>
      <c r="R1912">
        <f>IF(Q1912="","",IF(Q1912&gt;=60,"HIGH",IF(Q1912&gt;=30,"MEDIUM","LOW")))</f>
        <v/>
      </c>
    </row>
    <row r="1913">
      <c r="A1913" t="n">
        <v>1912</v>
      </c>
      <c r="R1913">
        <f>IF(Q1913="","",IF(Q1913&gt;=60,"HIGH",IF(Q1913&gt;=30,"MEDIUM","LOW")))</f>
        <v/>
      </c>
    </row>
    <row r="1914">
      <c r="A1914" t="n">
        <v>1913</v>
      </c>
      <c r="R1914">
        <f>IF(Q1914="","",IF(Q1914&gt;=60,"HIGH",IF(Q1914&gt;=30,"MEDIUM","LOW")))</f>
        <v/>
      </c>
    </row>
    <row r="1915">
      <c r="A1915" t="n">
        <v>1914</v>
      </c>
      <c r="R1915">
        <f>IF(Q1915="","",IF(Q1915&gt;=60,"HIGH",IF(Q1915&gt;=30,"MEDIUM","LOW")))</f>
        <v/>
      </c>
    </row>
    <row r="1916">
      <c r="A1916" t="n">
        <v>1915</v>
      </c>
      <c r="R1916">
        <f>IF(Q1916="","",IF(Q1916&gt;=60,"HIGH",IF(Q1916&gt;=30,"MEDIUM","LOW")))</f>
        <v/>
      </c>
    </row>
    <row r="1917">
      <c r="A1917" t="n">
        <v>1916</v>
      </c>
      <c r="R1917">
        <f>IF(Q1917="","",IF(Q1917&gt;=60,"HIGH",IF(Q1917&gt;=30,"MEDIUM","LOW")))</f>
        <v/>
      </c>
    </row>
    <row r="1918">
      <c r="A1918" t="n">
        <v>1917</v>
      </c>
      <c r="R1918">
        <f>IF(Q1918="","",IF(Q1918&gt;=60,"HIGH",IF(Q1918&gt;=30,"MEDIUM","LOW")))</f>
        <v/>
      </c>
    </row>
    <row r="1919">
      <c r="A1919" t="n">
        <v>1918</v>
      </c>
      <c r="R1919">
        <f>IF(Q1919="","",IF(Q1919&gt;=60,"HIGH",IF(Q1919&gt;=30,"MEDIUM","LOW")))</f>
        <v/>
      </c>
    </row>
    <row r="1920">
      <c r="A1920" t="n">
        <v>1919</v>
      </c>
      <c r="R1920">
        <f>IF(Q1920="","",IF(Q1920&gt;=60,"HIGH",IF(Q1920&gt;=30,"MEDIUM","LOW")))</f>
        <v/>
      </c>
    </row>
    <row r="1921">
      <c r="A1921" t="n">
        <v>1920</v>
      </c>
      <c r="R1921">
        <f>IF(Q1921="","",IF(Q1921&gt;=60,"HIGH",IF(Q1921&gt;=30,"MEDIUM","LOW")))</f>
        <v/>
      </c>
    </row>
    <row r="1922">
      <c r="A1922" t="n">
        <v>1921</v>
      </c>
      <c r="R1922">
        <f>IF(Q1922="","",IF(Q1922&gt;=60,"HIGH",IF(Q1922&gt;=30,"MEDIUM","LOW")))</f>
        <v/>
      </c>
    </row>
    <row r="1923">
      <c r="A1923" t="n">
        <v>1922</v>
      </c>
      <c r="R1923">
        <f>IF(Q1923="","",IF(Q1923&gt;=60,"HIGH",IF(Q1923&gt;=30,"MEDIUM","LOW")))</f>
        <v/>
      </c>
    </row>
    <row r="1924">
      <c r="A1924" t="n">
        <v>1923</v>
      </c>
      <c r="R1924">
        <f>IF(Q1924="","",IF(Q1924&gt;=60,"HIGH",IF(Q1924&gt;=30,"MEDIUM","LOW")))</f>
        <v/>
      </c>
    </row>
    <row r="1925">
      <c r="A1925" t="n">
        <v>1924</v>
      </c>
      <c r="R1925">
        <f>IF(Q1925="","",IF(Q1925&gt;=60,"HIGH",IF(Q1925&gt;=30,"MEDIUM","LOW")))</f>
        <v/>
      </c>
    </row>
    <row r="1926">
      <c r="A1926" t="n">
        <v>1925</v>
      </c>
      <c r="R1926">
        <f>IF(Q1926="","",IF(Q1926&gt;=60,"HIGH",IF(Q1926&gt;=30,"MEDIUM","LOW")))</f>
        <v/>
      </c>
    </row>
    <row r="1927">
      <c r="A1927" t="n">
        <v>1926</v>
      </c>
      <c r="R1927">
        <f>IF(Q1927="","",IF(Q1927&gt;=60,"HIGH",IF(Q1927&gt;=30,"MEDIUM","LOW")))</f>
        <v/>
      </c>
    </row>
    <row r="1928">
      <c r="A1928" t="n">
        <v>1927</v>
      </c>
      <c r="R1928">
        <f>IF(Q1928="","",IF(Q1928&gt;=60,"HIGH",IF(Q1928&gt;=30,"MEDIUM","LOW")))</f>
        <v/>
      </c>
    </row>
    <row r="1929">
      <c r="A1929" t="n">
        <v>1928</v>
      </c>
      <c r="R1929">
        <f>IF(Q1929="","",IF(Q1929&gt;=60,"HIGH",IF(Q1929&gt;=30,"MEDIUM","LOW")))</f>
        <v/>
      </c>
    </row>
    <row r="1930">
      <c r="A1930" t="n">
        <v>1929</v>
      </c>
      <c r="R1930">
        <f>IF(Q1930="","",IF(Q1930&gt;=60,"HIGH",IF(Q1930&gt;=30,"MEDIUM","LOW")))</f>
        <v/>
      </c>
    </row>
    <row r="1931">
      <c r="A1931" t="n">
        <v>1930</v>
      </c>
      <c r="R1931">
        <f>IF(Q1931="","",IF(Q1931&gt;=60,"HIGH",IF(Q1931&gt;=30,"MEDIUM","LOW")))</f>
        <v/>
      </c>
    </row>
    <row r="1932">
      <c r="A1932" t="n">
        <v>1931</v>
      </c>
      <c r="R1932">
        <f>IF(Q1932="","",IF(Q1932&gt;=60,"HIGH",IF(Q1932&gt;=30,"MEDIUM","LOW")))</f>
        <v/>
      </c>
    </row>
    <row r="1933">
      <c r="A1933" t="n">
        <v>1932</v>
      </c>
      <c r="R1933">
        <f>IF(Q1933="","",IF(Q1933&gt;=60,"HIGH",IF(Q1933&gt;=30,"MEDIUM","LOW")))</f>
        <v/>
      </c>
    </row>
    <row r="1934">
      <c r="A1934" t="n">
        <v>1933</v>
      </c>
      <c r="R1934">
        <f>IF(Q1934="","",IF(Q1934&gt;=60,"HIGH",IF(Q1934&gt;=30,"MEDIUM","LOW")))</f>
        <v/>
      </c>
    </row>
    <row r="1935">
      <c r="A1935" t="n">
        <v>1934</v>
      </c>
      <c r="R1935">
        <f>IF(Q1935="","",IF(Q1935&gt;=60,"HIGH",IF(Q1935&gt;=30,"MEDIUM","LOW")))</f>
        <v/>
      </c>
    </row>
    <row r="1936">
      <c r="A1936" t="n">
        <v>1935</v>
      </c>
      <c r="R1936">
        <f>IF(Q1936="","",IF(Q1936&gt;=60,"HIGH",IF(Q1936&gt;=30,"MEDIUM","LOW")))</f>
        <v/>
      </c>
    </row>
    <row r="1937">
      <c r="A1937" t="n">
        <v>1936</v>
      </c>
      <c r="R1937">
        <f>IF(Q1937="","",IF(Q1937&gt;=60,"HIGH",IF(Q1937&gt;=30,"MEDIUM","LOW")))</f>
        <v/>
      </c>
    </row>
    <row r="1938">
      <c r="A1938" t="n">
        <v>1937</v>
      </c>
      <c r="R1938">
        <f>IF(Q1938="","",IF(Q1938&gt;=60,"HIGH",IF(Q1938&gt;=30,"MEDIUM","LOW")))</f>
        <v/>
      </c>
    </row>
    <row r="1939">
      <c r="A1939" t="n">
        <v>1938</v>
      </c>
      <c r="R1939">
        <f>IF(Q1939="","",IF(Q1939&gt;=60,"HIGH",IF(Q1939&gt;=30,"MEDIUM","LOW")))</f>
        <v/>
      </c>
    </row>
    <row r="1940">
      <c r="A1940" t="n">
        <v>1939</v>
      </c>
      <c r="R1940">
        <f>IF(Q1940="","",IF(Q1940&gt;=60,"HIGH",IF(Q1940&gt;=30,"MEDIUM","LOW")))</f>
        <v/>
      </c>
    </row>
    <row r="1941">
      <c r="A1941" t="n">
        <v>1940</v>
      </c>
      <c r="R1941">
        <f>IF(Q1941="","",IF(Q1941&gt;=60,"HIGH",IF(Q1941&gt;=30,"MEDIUM","LOW")))</f>
        <v/>
      </c>
    </row>
    <row r="1942">
      <c r="A1942" t="n">
        <v>1941</v>
      </c>
      <c r="R1942">
        <f>IF(Q1942="","",IF(Q1942&gt;=60,"HIGH",IF(Q1942&gt;=30,"MEDIUM","LOW")))</f>
        <v/>
      </c>
    </row>
    <row r="1943">
      <c r="A1943" t="n">
        <v>1942</v>
      </c>
      <c r="R1943">
        <f>IF(Q1943="","",IF(Q1943&gt;=60,"HIGH",IF(Q1943&gt;=30,"MEDIUM","LOW")))</f>
        <v/>
      </c>
    </row>
    <row r="1944">
      <c r="A1944" t="n">
        <v>1943</v>
      </c>
      <c r="R1944">
        <f>IF(Q1944="","",IF(Q1944&gt;=60,"HIGH",IF(Q1944&gt;=30,"MEDIUM","LOW")))</f>
        <v/>
      </c>
    </row>
    <row r="1945">
      <c r="A1945" t="n">
        <v>1944</v>
      </c>
      <c r="R1945">
        <f>IF(Q1945="","",IF(Q1945&gt;=60,"HIGH",IF(Q1945&gt;=30,"MEDIUM","LOW")))</f>
        <v/>
      </c>
    </row>
    <row r="1946">
      <c r="A1946" t="n">
        <v>1945</v>
      </c>
      <c r="R1946">
        <f>IF(Q1946="","",IF(Q1946&gt;=60,"HIGH",IF(Q1946&gt;=30,"MEDIUM","LOW")))</f>
        <v/>
      </c>
    </row>
    <row r="1947">
      <c r="A1947" t="n">
        <v>1946</v>
      </c>
      <c r="R1947">
        <f>IF(Q1947="","",IF(Q1947&gt;=60,"HIGH",IF(Q1947&gt;=30,"MEDIUM","LOW")))</f>
        <v/>
      </c>
    </row>
    <row r="1948">
      <c r="A1948" t="n">
        <v>1947</v>
      </c>
      <c r="R1948">
        <f>IF(Q1948="","",IF(Q1948&gt;=60,"HIGH",IF(Q1948&gt;=30,"MEDIUM","LOW")))</f>
        <v/>
      </c>
    </row>
    <row r="1949">
      <c r="A1949" t="n">
        <v>1948</v>
      </c>
      <c r="R1949">
        <f>IF(Q1949="","",IF(Q1949&gt;=60,"HIGH",IF(Q1949&gt;=30,"MEDIUM","LOW")))</f>
        <v/>
      </c>
    </row>
    <row r="1950">
      <c r="A1950" t="n">
        <v>1949</v>
      </c>
      <c r="R1950">
        <f>IF(Q1950="","",IF(Q1950&gt;=60,"HIGH",IF(Q1950&gt;=30,"MEDIUM","LOW")))</f>
        <v/>
      </c>
    </row>
    <row r="1951">
      <c r="A1951" t="n">
        <v>1950</v>
      </c>
      <c r="R1951">
        <f>IF(Q1951="","",IF(Q1951&gt;=60,"HIGH",IF(Q1951&gt;=30,"MEDIUM","LOW")))</f>
        <v/>
      </c>
    </row>
    <row r="1952">
      <c r="A1952" t="n">
        <v>1951</v>
      </c>
      <c r="R1952">
        <f>IF(Q1952="","",IF(Q1952&gt;=60,"HIGH",IF(Q1952&gt;=30,"MEDIUM","LOW")))</f>
        <v/>
      </c>
    </row>
    <row r="1953">
      <c r="A1953" t="n">
        <v>1952</v>
      </c>
      <c r="R1953">
        <f>IF(Q1953="","",IF(Q1953&gt;=60,"HIGH",IF(Q1953&gt;=30,"MEDIUM","LOW")))</f>
        <v/>
      </c>
    </row>
    <row r="1954">
      <c r="A1954" t="n">
        <v>1953</v>
      </c>
      <c r="R1954">
        <f>IF(Q1954="","",IF(Q1954&gt;=60,"HIGH",IF(Q1954&gt;=30,"MEDIUM","LOW")))</f>
        <v/>
      </c>
    </row>
    <row r="1955">
      <c r="A1955" t="n">
        <v>1954</v>
      </c>
      <c r="R1955">
        <f>IF(Q1955="","",IF(Q1955&gt;=60,"HIGH",IF(Q1955&gt;=30,"MEDIUM","LOW")))</f>
        <v/>
      </c>
    </row>
    <row r="1956">
      <c r="A1956" t="n">
        <v>1955</v>
      </c>
      <c r="R1956">
        <f>IF(Q1956="","",IF(Q1956&gt;=60,"HIGH",IF(Q1956&gt;=30,"MEDIUM","LOW")))</f>
        <v/>
      </c>
    </row>
    <row r="1957">
      <c r="A1957" t="n">
        <v>1956</v>
      </c>
      <c r="R1957">
        <f>IF(Q1957="","",IF(Q1957&gt;=60,"HIGH",IF(Q1957&gt;=30,"MEDIUM","LOW")))</f>
        <v/>
      </c>
    </row>
    <row r="1958">
      <c r="A1958" t="n">
        <v>1957</v>
      </c>
      <c r="R1958">
        <f>IF(Q1958="","",IF(Q1958&gt;=60,"HIGH",IF(Q1958&gt;=30,"MEDIUM","LOW")))</f>
        <v/>
      </c>
    </row>
    <row r="1959">
      <c r="A1959" t="n">
        <v>1958</v>
      </c>
      <c r="R1959">
        <f>IF(Q1959="","",IF(Q1959&gt;=60,"HIGH",IF(Q1959&gt;=30,"MEDIUM","LOW")))</f>
        <v/>
      </c>
    </row>
    <row r="1960">
      <c r="A1960" t="n">
        <v>1959</v>
      </c>
      <c r="R1960">
        <f>IF(Q1960="","",IF(Q1960&gt;=60,"HIGH",IF(Q1960&gt;=30,"MEDIUM","LOW")))</f>
        <v/>
      </c>
    </row>
    <row r="1961">
      <c r="A1961" t="n">
        <v>1960</v>
      </c>
      <c r="R1961">
        <f>IF(Q1961="","",IF(Q1961&gt;=60,"HIGH",IF(Q1961&gt;=30,"MEDIUM","LOW")))</f>
        <v/>
      </c>
    </row>
    <row r="1962">
      <c r="A1962" t="n">
        <v>1961</v>
      </c>
      <c r="R1962">
        <f>IF(Q1962="","",IF(Q1962&gt;=60,"HIGH",IF(Q1962&gt;=30,"MEDIUM","LOW")))</f>
        <v/>
      </c>
    </row>
    <row r="1963">
      <c r="A1963" t="n">
        <v>1962</v>
      </c>
      <c r="R1963">
        <f>IF(Q1963="","",IF(Q1963&gt;=60,"HIGH",IF(Q1963&gt;=30,"MEDIUM","LOW")))</f>
        <v/>
      </c>
    </row>
    <row r="1964">
      <c r="A1964" t="n">
        <v>1963</v>
      </c>
      <c r="R1964">
        <f>IF(Q1964="","",IF(Q1964&gt;=60,"HIGH",IF(Q1964&gt;=30,"MEDIUM","LOW")))</f>
        <v/>
      </c>
    </row>
    <row r="1965">
      <c r="A1965" t="n">
        <v>1964</v>
      </c>
      <c r="R1965">
        <f>IF(Q1965="","",IF(Q1965&gt;=60,"HIGH",IF(Q1965&gt;=30,"MEDIUM","LOW")))</f>
        <v/>
      </c>
    </row>
    <row r="1966">
      <c r="A1966" t="n">
        <v>1965</v>
      </c>
      <c r="R1966">
        <f>IF(Q1966="","",IF(Q1966&gt;=60,"HIGH",IF(Q1966&gt;=30,"MEDIUM","LOW")))</f>
        <v/>
      </c>
    </row>
    <row r="1967">
      <c r="A1967" t="n">
        <v>1966</v>
      </c>
      <c r="R1967">
        <f>IF(Q1967="","",IF(Q1967&gt;=60,"HIGH",IF(Q1967&gt;=30,"MEDIUM","LOW")))</f>
        <v/>
      </c>
    </row>
    <row r="1968">
      <c r="A1968" t="n">
        <v>1967</v>
      </c>
      <c r="R1968">
        <f>IF(Q1968="","",IF(Q1968&gt;=60,"HIGH",IF(Q1968&gt;=30,"MEDIUM","LOW")))</f>
        <v/>
      </c>
    </row>
    <row r="1969">
      <c r="A1969" t="n">
        <v>1968</v>
      </c>
      <c r="R1969">
        <f>IF(Q1969="","",IF(Q1969&gt;=60,"HIGH",IF(Q1969&gt;=30,"MEDIUM","LOW")))</f>
        <v/>
      </c>
    </row>
    <row r="1970">
      <c r="A1970" t="n">
        <v>1969</v>
      </c>
      <c r="R1970">
        <f>IF(Q1970="","",IF(Q1970&gt;=60,"HIGH",IF(Q1970&gt;=30,"MEDIUM","LOW")))</f>
        <v/>
      </c>
    </row>
    <row r="1971">
      <c r="A1971" t="n">
        <v>1970</v>
      </c>
      <c r="R1971">
        <f>IF(Q1971="","",IF(Q1971&gt;=60,"HIGH",IF(Q1971&gt;=30,"MEDIUM","LOW")))</f>
        <v/>
      </c>
    </row>
    <row r="1972">
      <c r="A1972" t="n">
        <v>1971</v>
      </c>
      <c r="R1972">
        <f>IF(Q1972="","",IF(Q1972&gt;=60,"HIGH",IF(Q1972&gt;=30,"MEDIUM","LOW")))</f>
        <v/>
      </c>
    </row>
    <row r="1973">
      <c r="A1973" t="n">
        <v>1972</v>
      </c>
      <c r="R1973">
        <f>IF(Q1973="","",IF(Q1973&gt;=60,"HIGH",IF(Q1973&gt;=30,"MEDIUM","LOW")))</f>
        <v/>
      </c>
    </row>
    <row r="1974">
      <c r="A1974" t="n">
        <v>1973</v>
      </c>
      <c r="R1974">
        <f>IF(Q1974="","",IF(Q1974&gt;=60,"HIGH",IF(Q1974&gt;=30,"MEDIUM","LOW")))</f>
        <v/>
      </c>
    </row>
    <row r="1975">
      <c r="A1975" t="n">
        <v>1974</v>
      </c>
      <c r="R1975">
        <f>IF(Q1975="","",IF(Q1975&gt;=60,"HIGH",IF(Q1975&gt;=30,"MEDIUM","LOW")))</f>
        <v/>
      </c>
    </row>
    <row r="1976">
      <c r="A1976" t="n">
        <v>1975</v>
      </c>
      <c r="R1976">
        <f>IF(Q1976="","",IF(Q1976&gt;=60,"HIGH",IF(Q1976&gt;=30,"MEDIUM","LOW")))</f>
        <v/>
      </c>
    </row>
    <row r="1977">
      <c r="A1977" t="n">
        <v>1976</v>
      </c>
      <c r="R1977">
        <f>IF(Q1977="","",IF(Q1977&gt;=60,"HIGH",IF(Q1977&gt;=30,"MEDIUM","LOW")))</f>
        <v/>
      </c>
    </row>
    <row r="1978">
      <c r="A1978" t="n">
        <v>1977</v>
      </c>
      <c r="R1978">
        <f>IF(Q1978="","",IF(Q1978&gt;=60,"HIGH",IF(Q1978&gt;=30,"MEDIUM","LOW")))</f>
        <v/>
      </c>
    </row>
    <row r="1979">
      <c r="A1979" t="n">
        <v>1978</v>
      </c>
      <c r="R1979">
        <f>IF(Q1979="","",IF(Q1979&gt;=60,"HIGH",IF(Q1979&gt;=30,"MEDIUM","LOW")))</f>
        <v/>
      </c>
    </row>
    <row r="1980">
      <c r="A1980" t="n">
        <v>1979</v>
      </c>
      <c r="R1980">
        <f>IF(Q1980="","",IF(Q1980&gt;=60,"HIGH",IF(Q1980&gt;=30,"MEDIUM","LOW")))</f>
        <v/>
      </c>
    </row>
    <row r="1981">
      <c r="A1981" t="n">
        <v>1980</v>
      </c>
      <c r="R1981">
        <f>IF(Q1981="","",IF(Q1981&gt;=60,"HIGH",IF(Q1981&gt;=30,"MEDIUM","LOW")))</f>
        <v/>
      </c>
    </row>
    <row r="1982">
      <c r="A1982" t="n">
        <v>1981</v>
      </c>
      <c r="R1982">
        <f>IF(Q1982="","",IF(Q1982&gt;=60,"HIGH",IF(Q1982&gt;=30,"MEDIUM","LOW")))</f>
        <v/>
      </c>
    </row>
    <row r="1983">
      <c r="A1983" t="n">
        <v>1982</v>
      </c>
      <c r="R1983">
        <f>IF(Q1983="","",IF(Q1983&gt;=60,"HIGH",IF(Q1983&gt;=30,"MEDIUM","LOW")))</f>
        <v/>
      </c>
    </row>
    <row r="1984">
      <c r="A1984" t="n">
        <v>1983</v>
      </c>
      <c r="R1984">
        <f>IF(Q1984="","",IF(Q1984&gt;=60,"HIGH",IF(Q1984&gt;=30,"MEDIUM","LOW")))</f>
        <v/>
      </c>
    </row>
    <row r="1985">
      <c r="A1985" t="n">
        <v>1984</v>
      </c>
      <c r="R1985">
        <f>IF(Q1985="","",IF(Q1985&gt;=60,"HIGH",IF(Q1985&gt;=30,"MEDIUM","LOW")))</f>
        <v/>
      </c>
    </row>
    <row r="1986">
      <c r="A1986" t="n">
        <v>1985</v>
      </c>
      <c r="R1986">
        <f>IF(Q1986="","",IF(Q1986&gt;=60,"HIGH",IF(Q1986&gt;=30,"MEDIUM","LOW")))</f>
        <v/>
      </c>
    </row>
    <row r="1987">
      <c r="A1987" t="n">
        <v>1986</v>
      </c>
      <c r="R1987">
        <f>IF(Q1987="","",IF(Q1987&gt;=60,"HIGH",IF(Q1987&gt;=30,"MEDIUM","LOW")))</f>
        <v/>
      </c>
    </row>
    <row r="1988">
      <c r="A1988" t="n">
        <v>1987</v>
      </c>
      <c r="R1988">
        <f>IF(Q1988="","",IF(Q1988&gt;=60,"HIGH",IF(Q1988&gt;=30,"MEDIUM","LOW")))</f>
        <v/>
      </c>
    </row>
    <row r="1989">
      <c r="A1989" t="n">
        <v>1988</v>
      </c>
      <c r="R1989">
        <f>IF(Q1989="","",IF(Q1989&gt;=60,"HIGH",IF(Q1989&gt;=30,"MEDIUM","LOW")))</f>
        <v/>
      </c>
    </row>
    <row r="1990">
      <c r="A1990" t="n">
        <v>1989</v>
      </c>
      <c r="R1990">
        <f>IF(Q1990="","",IF(Q1990&gt;=60,"HIGH",IF(Q1990&gt;=30,"MEDIUM","LOW")))</f>
        <v/>
      </c>
    </row>
    <row r="1991">
      <c r="A1991" t="n">
        <v>1990</v>
      </c>
      <c r="R1991">
        <f>IF(Q1991="","",IF(Q1991&gt;=60,"HIGH",IF(Q1991&gt;=30,"MEDIUM","LOW")))</f>
        <v/>
      </c>
    </row>
    <row r="1992">
      <c r="A1992" t="n">
        <v>1991</v>
      </c>
      <c r="R1992">
        <f>IF(Q1992="","",IF(Q1992&gt;=60,"HIGH",IF(Q1992&gt;=30,"MEDIUM","LOW")))</f>
        <v/>
      </c>
    </row>
    <row r="1993">
      <c r="A1993" t="n">
        <v>1992</v>
      </c>
      <c r="R1993">
        <f>IF(Q1993="","",IF(Q1993&gt;=60,"HIGH",IF(Q1993&gt;=30,"MEDIUM","LOW")))</f>
        <v/>
      </c>
    </row>
    <row r="1994">
      <c r="A1994" t="n">
        <v>1993</v>
      </c>
      <c r="R1994">
        <f>IF(Q1994="","",IF(Q1994&gt;=60,"HIGH",IF(Q1994&gt;=30,"MEDIUM","LOW")))</f>
        <v/>
      </c>
    </row>
    <row r="1995">
      <c r="A1995" t="n">
        <v>1994</v>
      </c>
      <c r="R1995">
        <f>IF(Q1995="","",IF(Q1995&gt;=60,"HIGH",IF(Q1995&gt;=30,"MEDIUM","LOW")))</f>
        <v/>
      </c>
    </row>
    <row r="1996">
      <c r="A1996" t="n">
        <v>1995</v>
      </c>
      <c r="R1996">
        <f>IF(Q1996="","",IF(Q1996&gt;=60,"HIGH",IF(Q1996&gt;=30,"MEDIUM","LOW")))</f>
        <v/>
      </c>
    </row>
    <row r="1997">
      <c r="A1997" t="n">
        <v>1996</v>
      </c>
      <c r="R1997">
        <f>IF(Q1997="","",IF(Q1997&gt;=60,"HIGH",IF(Q1997&gt;=30,"MEDIUM","LOW")))</f>
        <v/>
      </c>
    </row>
    <row r="1998">
      <c r="A1998" t="n">
        <v>1997</v>
      </c>
      <c r="R1998">
        <f>IF(Q1998="","",IF(Q1998&gt;=60,"HIGH",IF(Q1998&gt;=30,"MEDIUM","LOW")))</f>
        <v/>
      </c>
    </row>
    <row r="1999">
      <c r="A1999" t="n">
        <v>1998</v>
      </c>
      <c r="R1999">
        <f>IF(Q1999="","",IF(Q1999&gt;=60,"HIGH",IF(Q1999&gt;=30,"MEDIUM","LOW")))</f>
        <v/>
      </c>
    </row>
    <row r="2000">
      <c r="A2000" t="n">
        <v>1999</v>
      </c>
      <c r="R2000">
        <f>IF(Q2000="","",IF(Q2000&gt;=60,"HIGH",IF(Q2000&gt;=30,"MEDIUM","LOW")))</f>
        <v/>
      </c>
    </row>
    <row r="2001">
      <c r="A2001" t="n">
        <v>2000</v>
      </c>
      <c r="R2001">
        <f>IF(Q2001="","",IF(Q2001&gt;=60,"HIGH",IF(Q2001&gt;=30,"MEDIUM","LOW")))</f>
        <v/>
      </c>
    </row>
    <row r="2002">
      <c r="A2002" t="n">
        <v>2001</v>
      </c>
      <c r="R2002">
        <f>IF(Q2002="","",IF(Q2002&gt;=60,"HIGH",IF(Q2002&gt;=30,"MEDIUM","LOW")))</f>
        <v/>
      </c>
    </row>
    <row r="2003">
      <c r="A2003" t="n">
        <v>2002</v>
      </c>
      <c r="R2003">
        <f>IF(Q2003="","",IF(Q2003&gt;=60,"HIGH",IF(Q2003&gt;=30,"MEDIUM","LOW")))</f>
        <v/>
      </c>
    </row>
    <row r="2004">
      <c r="A2004" t="n">
        <v>2003</v>
      </c>
      <c r="R2004">
        <f>IF(Q2004="","",IF(Q2004&gt;=60,"HIGH",IF(Q2004&gt;=30,"MEDIUM","LOW")))</f>
        <v/>
      </c>
    </row>
    <row r="2005">
      <c r="A2005" t="n">
        <v>2004</v>
      </c>
      <c r="R2005">
        <f>IF(Q2005="","",IF(Q2005&gt;=60,"HIGH",IF(Q2005&gt;=30,"MEDIUM","LOW")))</f>
        <v/>
      </c>
    </row>
    <row r="2006">
      <c r="A2006" t="n">
        <v>2005</v>
      </c>
      <c r="R2006">
        <f>IF(Q2006="","",IF(Q2006&gt;=60,"HIGH",IF(Q2006&gt;=30,"MEDIUM","LOW")))</f>
        <v/>
      </c>
    </row>
    <row r="2007">
      <c r="A2007" t="n">
        <v>2006</v>
      </c>
      <c r="R2007">
        <f>IF(Q2007="","",IF(Q2007&gt;=60,"HIGH",IF(Q2007&gt;=30,"MEDIUM","LOW")))</f>
        <v/>
      </c>
    </row>
    <row r="2008">
      <c r="A2008" t="n">
        <v>2007</v>
      </c>
      <c r="R2008">
        <f>IF(Q2008="","",IF(Q2008&gt;=60,"HIGH",IF(Q2008&gt;=30,"MEDIUM","LOW")))</f>
        <v/>
      </c>
    </row>
    <row r="2009">
      <c r="A2009" t="n">
        <v>2008</v>
      </c>
      <c r="R2009">
        <f>IF(Q2009="","",IF(Q2009&gt;=60,"HIGH",IF(Q2009&gt;=30,"MEDIUM","LOW")))</f>
        <v/>
      </c>
    </row>
    <row r="2010">
      <c r="A2010" t="n">
        <v>2009</v>
      </c>
      <c r="R2010">
        <f>IF(Q2010="","",IF(Q2010&gt;=60,"HIGH",IF(Q2010&gt;=30,"MEDIUM","LOW")))</f>
        <v/>
      </c>
    </row>
    <row r="2011">
      <c r="A2011" t="n">
        <v>2010</v>
      </c>
      <c r="R2011">
        <f>IF(Q2011="","",IF(Q2011&gt;=60,"HIGH",IF(Q2011&gt;=30,"MEDIUM","LOW")))</f>
        <v/>
      </c>
    </row>
    <row r="2012">
      <c r="A2012" t="n">
        <v>2011</v>
      </c>
      <c r="R2012">
        <f>IF(Q2012="","",IF(Q2012&gt;=60,"HIGH",IF(Q2012&gt;=30,"MEDIUM","LOW")))</f>
        <v/>
      </c>
    </row>
    <row r="2013">
      <c r="A2013" t="n">
        <v>2012</v>
      </c>
      <c r="R2013">
        <f>IF(Q2013="","",IF(Q2013&gt;=60,"HIGH",IF(Q2013&gt;=30,"MEDIUM","LOW")))</f>
        <v/>
      </c>
    </row>
    <row r="2014">
      <c r="A2014" t="n">
        <v>2013</v>
      </c>
      <c r="R2014">
        <f>IF(Q2014="","",IF(Q2014&gt;=60,"HIGH",IF(Q2014&gt;=30,"MEDIUM","LOW")))</f>
        <v/>
      </c>
    </row>
    <row r="2015">
      <c r="A2015" t="n">
        <v>2014</v>
      </c>
      <c r="R2015">
        <f>IF(Q2015="","",IF(Q2015&gt;=60,"HIGH",IF(Q2015&gt;=30,"MEDIUM","LOW")))</f>
        <v/>
      </c>
    </row>
    <row r="2016">
      <c r="A2016" t="n">
        <v>2015</v>
      </c>
      <c r="R2016">
        <f>IF(Q2016="","",IF(Q2016&gt;=60,"HIGH",IF(Q2016&gt;=30,"MEDIUM","LOW")))</f>
        <v/>
      </c>
    </row>
    <row r="2017">
      <c r="A2017" t="n">
        <v>2016</v>
      </c>
      <c r="R2017">
        <f>IF(Q2017="","",IF(Q2017&gt;=60,"HIGH",IF(Q2017&gt;=30,"MEDIUM","LOW")))</f>
        <v/>
      </c>
    </row>
    <row r="2018">
      <c r="A2018" t="n">
        <v>2017</v>
      </c>
      <c r="R2018">
        <f>IF(Q2018="","",IF(Q2018&gt;=60,"HIGH",IF(Q2018&gt;=30,"MEDIUM","LOW")))</f>
        <v/>
      </c>
    </row>
    <row r="2019">
      <c r="A2019" t="n">
        <v>2018</v>
      </c>
      <c r="R2019">
        <f>IF(Q2019="","",IF(Q2019&gt;=60,"HIGH",IF(Q2019&gt;=30,"MEDIUM","LOW")))</f>
        <v/>
      </c>
    </row>
    <row r="2020">
      <c r="A2020" t="n">
        <v>2019</v>
      </c>
      <c r="R2020">
        <f>IF(Q2020="","",IF(Q2020&gt;=60,"HIGH",IF(Q2020&gt;=30,"MEDIUM","LOW")))</f>
        <v/>
      </c>
    </row>
    <row r="2021">
      <c r="A2021" t="n">
        <v>2020</v>
      </c>
      <c r="R2021">
        <f>IF(Q2021="","",IF(Q2021&gt;=60,"HIGH",IF(Q2021&gt;=30,"MEDIUM","LOW")))</f>
        <v/>
      </c>
    </row>
    <row r="2022">
      <c r="A2022" t="n">
        <v>2021</v>
      </c>
      <c r="R2022">
        <f>IF(Q2022="","",IF(Q2022&gt;=60,"HIGH",IF(Q2022&gt;=30,"MEDIUM","LOW")))</f>
        <v/>
      </c>
    </row>
    <row r="2023">
      <c r="A2023" t="n">
        <v>2022</v>
      </c>
      <c r="R2023">
        <f>IF(Q2023="","",IF(Q2023&gt;=60,"HIGH",IF(Q2023&gt;=30,"MEDIUM","LOW")))</f>
        <v/>
      </c>
    </row>
    <row r="2024">
      <c r="A2024" t="n">
        <v>2023</v>
      </c>
      <c r="R2024">
        <f>IF(Q2024="","",IF(Q2024&gt;=60,"HIGH",IF(Q2024&gt;=30,"MEDIUM","LOW")))</f>
        <v/>
      </c>
    </row>
    <row r="2025">
      <c r="A2025" t="n">
        <v>2024</v>
      </c>
      <c r="R2025">
        <f>IF(Q2025="","",IF(Q2025&gt;=60,"HIGH",IF(Q2025&gt;=30,"MEDIUM","LOW")))</f>
        <v/>
      </c>
    </row>
    <row r="2026">
      <c r="A2026" t="n">
        <v>2025</v>
      </c>
      <c r="R2026">
        <f>IF(Q2026="","",IF(Q2026&gt;=60,"HIGH",IF(Q2026&gt;=30,"MEDIUM","LOW")))</f>
        <v/>
      </c>
    </row>
    <row r="2027">
      <c r="A2027" t="n">
        <v>2026</v>
      </c>
      <c r="R2027">
        <f>IF(Q2027="","",IF(Q2027&gt;=60,"HIGH",IF(Q2027&gt;=30,"MEDIUM","LOW")))</f>
        <v/>
      </c>
    </row>
    <row r="2028">
      <c r="A2028" t="n">
        <v>2027</v>
      </c>
      <c r="R2028">
        <f>IF(Q2028="","",IF(Q2028&gt;=60,"HIGH",IF(Q2028&gt;=30,"MEDIUM","LOW")))</f>
        <v/>
      </c>
    </row>
    <row r="2029">
      <c r="A2029" t="n">
        <v>2028</v>
      </c>
      <c r="R2029">
        <f>IF(Q2029="","",IF(Q2029&gt;=60,"HIGH",IF(Q2029&gt;=30,"MEDIUM","LOW")))</f>
        <v/>
      </c>
    </row>
    <row r="2030">
      <c r="A2030" t="n">
        <v>2029</v>
      </c>
      <c r="R2030">
        <f>IF(Q2030="","",IF(Q2030&gt;=60,"HIGH",IF(Q2030&gt;=30,"MEDIUM","LOW")))</f>
        <v/>
      </c>
    </row>
    <row r="2031">
      <c r="A2031" t="n">
        <v>2030</v>
      </c>
      <c r="R2031">
        <f>IF(Q2031="","",IF(Q2031&gt;=60,"HIGH",IF(Q2031&gt;=30,"MEDIUM","LOW")))</f>
        <v/>
      </c>
    </row>
    <row r="2032">
      <c r="A2032" t="n">
        <v>2031</v>
      </c>
      <c r="R2032">
        <f>IF(Q2032="","",IF(Q2032&gt;=60,"HIGH",IF(Q2032&gt;=30,"MEDIUM","LOW")))</f>
        <v/>
      </c>
    </row>
    <row r="2033">
      <c r="A2033" t="n">
        <v>2032</v>
      </c>
      <c r="R2033">
        <f>IF(Q2033="","",IF(Q2033&gt;=60,"HIGH",IF(Q2033&gt;=30,"MEDIUM","LOW")))</f>
        <v/>
      </c>
    </row>
    <row r="2034">
      <c r="A2034" t="n">
        <v>2033</v>
      </c>
      <c r="R2034">
        <f>IF(Q2034="","",IF(Q2034&gt;=60,"HIGH",IF(Q2034&gt;=30,"MEDIUM","LOW")))</f>
        <v/>
      </c>
    </row>
    <row r="2035">
      <c r="A2035" t="n">
        <v>2034</v>
      </c>
      <c r="R2035">
        <f>IF(Q2035="","",IF(Q2035&gt;=60,"HIGH",IF(Q2035&gt;=30,"MEDIUM","LOW")))</f>
        <v/>
      </c>
    </row>
    <row r="2036">
      <c r="A2036" t="n">
        <v>2035</v>
      </c>
      <c r="R2036">
        <f>IF(Q2036="","",IF(Q2036&gt;=60,"HIGH",IF(Q2036&gt;=30,"MEDIUM","LOW")))</f>
        <v/>
      </c>
    </row>
    <row r="2037">
      <c r="A2037" t="n">
        <v>2036</v>
      </c>
      <c r="R2037">
        <f>IF(Q2037="","",IF(Q2037&gt;=60,"HIGH",IF(Q2037&gt;=30,"MEDIUM","LOW")))</f>
        <v/>
      </c>
    </row>
    <row r="2038">
      <c r="A2038" t="n">
        <v>2037</v>
      </c>
      <c r="R2038">
        <f>IF(Q2038="","",IF(Q2038&gt;=60,"HIGH",IF(Q2038&gt;=30,"MEDIUM","LOW")))</f>
        <v/>
      </c>
    </row>
    <row r="2039">
      <c r="A2039" t="n">
        <v>2038</v>
      </c>
      <c r="R2039">
        <f>IF(Q2039="","",IF(Q2039&gt;=60,"HIGH",IF(Q2039&gt;=30,"MEDIUM","LOW")))</f>
        <v/>
      </c>
    </row>
    <row r="2040">
      <c r="A2040" t="n">
        <v>2039</v>
      </c>
      <c r="R2040">
        <f>IF(Q2040="","",IF(Q2040&gt;=60,"HIGH",IF(Q2040&gt;=30,"MEDIUM","LOW")))</f>
        <v/>
      </c>
    </row>
    <row r="2041">
      <c r="A2041" t="n">
        <v>2040</v>
      </c>
      <c r="R2041">
        <f>IF(Q2041="","",IF(Q2041&gt;=60,"HIGH",IF(Q2041&gt;=30,"MEDIUM","LOW")))</f>
        <v/>
      </c>
    </row>
    <row r="2042">
      <c r="A2042" t="n">
        <v>2041</v>
      </c>
      <c r="R2042">
        <f>IF(Q2042="","",IF(Q2042&gt;=60,"HIGH",IF(Q2042&gt;=30,"MEDIUM","LOW")))</f>
        <v/>
      </c>
    </row>
    <row r="2043">
      <c r="A2043" t="n">
        <v>2042</v>
      </c>
      <c r="R2043">
        <f>IF(Q2043="","",IF(Q2043&gt;=60,"HIGH",IF(Q2043&gt;=30,"MEDIUM","LOW")))</f>
        <v/>
      </c>
    </row>
    <row r="2044">
      <c r="A2044" t="n">
        <v>2043</v>
      </c>
      <c r="R2044">
        <f>IF(Q2044="","",IF(Q2044&gt;=60,"HIGH",IF(Q2044&gt;=30,"MEDIUM","LOW")))</f>
        <v/>
      </c>
    </row>
    <row r="2045">
      <c r="A2045" t="n">
        <v>2044</v>
      </c>
      <c r="R2045">
        <f>IF(Q2045="","",IF(Q2045&gt;=60,"HIGH",IF(Q2045&gt;=30,"MEDIUM","LOW")))</f>
        <v/>
      </c>
    </row>
    <row r="2046">
      <c r="A2046" t="n">
        <v>2045</v>
      </c>
      <c r="R2046">
        <f>IF(Q2046="","",IF(Q2046&gt;=60,"HIGH",IF(Q2046&gt;=30,"MEDIUM","LOW")))</f>
        <v/>
      </c>
    </row>
    <row r="2047">
      <c r="A2047" t="n">
        <v>2046</v>
      </c>
      <c r="R2047">
        <f>IF(Q2047="","",IF(Q2047&gt;=60,"HIGH",IF(Q2047&gt;=30,"MEDIUM","LOW")))</f>
        <v/>
      </c>
    </row>
    <row r="2048">
      <c r="A2048" t="n">
        <v>2047</v>
      </c>
      <c r="R2048">
        <f>IF(Q2048="","",IF(Q2048&gt;=60,"HIGH",IF(Q2048&gt;=30,"MEDIUM","LOW")))</f>
        <v/>
      </c>
    </row>
    <row r="2049">
      <c r="A2049" t="n">
        <v>2048</v>
      </c>
      <c r="R2049">
        <f>IF(Q2049="","",IF(Q2049&gt;=60,"HIGH",IF(Q2049&gt;=30,"MEDIUM","LOW")))</f>
        <v/>
      </c>
    </row>
    <row r="2050">
      <c r="A2050" t="n">
        <v>2049</v>
      </c>
      <c r="R2050">
        <f>IF(Q2050="","",IF(Q2050&gt;=60,"HIGH",IF(Q2050&gt;=30,"MEDIUM","LOW")))</f>
        <v/>
      </c>
    </row>
    <row r="2051">
      <c r="A2051" t="n">
        <v>2050</v>
      </c>
      <c r="R2051">
        <f>IF(Q2051="","",IF(Q2051&gt;=60,"HIGH",IF(Q2051&gt;=30,"MEDIUM","LOW")))</f>
        <v/>
      </c>
    </row>
    <row r="2052">
      <c r="A2052" t="n">
        <v>2051</v>
      </c>
      <c r="R2052">
        <f>IF(Q2052="","",IF(Q2052&gt;=60,"HIGH",IF(Q2052&gt;=30,"MEDIUM","LOW")))</f>
        <v/>
      </c>
    </row>
    <row r="2053">
      <c r="A2053" t="n">
        <v>2052</v>
      </c>
      <c r="R2053">
        <f>IF(Q2053="","",IF(Q2053&gt;=60,"HIGH",IF(Q2053&gt;=30,"MEDIUM","LOW")))</f>
        <v/>
      </c>
    </row>
    <row r="2054">
      <c r="A2054" t="n">
        <v>2053</v>
      </c>
      <c r="R2054">
        <f>IF(Q2054="","",IF(Q2054&gt;=60,"HIGH",IF(Q2054&gt;=30,"MEDIUM","LOW")))</f>
        <v/>
      </c>
    </row>
    <row r="2055">
      <c r="A2055" t="n">
        <v>2054</v>
      </c>
      <c r="R2055">
        <f>IF(Q2055="","",IF(Q2055&gt;=60,"HIGH",IF(Q2055&gt;=30,"MEDIUM","LOW")))</f>
        <v/>
      </c>
    </row>
    <row r="2056">
      <c r="A2056" t="n">
        <v>2055</v>
      </c>
      <c r="R2056">
        <f>IF(Q2056="","",IF(Q2056&gt;=60,"HIGH",IF(Q2056&gt;=30,"MEDIUM","LOW")))</f>
        <v/>
      </c>
    </row>
    <row r="2057">
      <c r="A2057" t="n">
        <v>2056</v>
      </c>
      <c r="R2057">
        <f>IF(Q2057="","",IF(Q2057&gt;=60,"HIGH",IF(Q2057&gt;=30,"MEDIUM","LOW")))</f>
        <v/>
      </c>
    </row>
    <row r="2058">
      <c r="A2058" t="n">
        <v>2057</v>
      </c>
      <c r="R2058">
        <f>IF(Q2058="","",IF(Q2058&gt;=60,"HIGH",IF(Q2058&gt;=30,"MEDIUM","LOW")))</f>
        <v/>
      </c>
    </row>
    <row r="2059">
      <c r="A2059" t="n">
        <v>2058</v>
      </c>
      <c r="R2059">
        <f>IF(Q2059="","",IF(Q2059&gt;=60,"HIGH",IF(Q2059&gt;=30,"MEDIUM","LOW")))</f>
        <v/>
      </c>
    </row>
    <row r="2060">
      <c r="A2060" t="n">
        <v>2059</v>
      </c>
      <c r="R2060">
        <f>IF(Q2060="","",IF(Q2060&gt;=60,"HIGH",IF(Q2060&gt;=30,"MEDIUM","LOW")))</f>
        <v/>
      </c>
    </row>
    <row r="2061">
      <c r="A2061" t="n">
        <v>2060</v>
      </c>
      <c r="R2061">
        <f>IF(Q2061="","",IF(Q2061&gt;=60,"HIGH",IF(Q2061&gt;=30,"MEDIUM","LOW")))</f>
        <v/>
      </c>
    </row>
    <row r="2062">
      <c r="A2062" t="n">
        <v>2061</v>
      </c>
      <c r="R2062">
        <f>IF(Q2062="","",IF(Q2062&gt;=60,"HIGH",IF(Q2062&gt;=30,"MEDIUM","LOW")))</f>
        <v/>
      </c>
    </row>
    <row r="2063">
      <c r="A2063" t="n">
        <v>2062</v>
      </c>
      <c r="R2063">
        <f>IF(Q2063="","",IF(Q2063&gt;=60,"HIGH",IF(Q2063&gt;=30,"MEDIUM","LOW")))</f>
        <v/>
      </c>
    </row>
    <row r="2064">
      <c r="A2064" t="n">
        <v>2063</v>
      </c>
      <c r="R2064">
        <f>IF(Q2064="","",IF(Q2064&gt;=60,"HIGH",IF(Q2064&gt;=30,"MEDIUM","LOW")))</f>
        <v/>
      </c>
    </row>
    <row r="2065">
      <c r="A2065" t="n">
        <v>2064</v>
      </c>
      <c r="R2065">
        <f>IF(Q2065="","",IF(Q2065&gt;=60,"HIGH",IF(Q2065&gt;=30,"MEDIUM","LOW")))</f>
        <v/>
      </c>
    </row>
    <row r="2066">
      <c r="A2066" t="n">
        <v>2065</v>
      </c>
      <c r="R2066">
        <f>IF(Q2066="","",IF(Q2066&gt;=60,"HIGH",IF(Q2066&gt;=30,"MEDIUM","LOW")))</f>
        <v/>
      </c>
    </row>
    <row r="2067">
      <c r="A2067" t="n">
        <v>2066</v>
      </c>
      <c r="R2067">
        <f>IF(Q2067="","",IF(Q2067&gt;=60,"HIGH",IF(Q2067&gt;=30,"MEDIUM","LOW")))</f>
        <v/>
      </c>
    </row>
    <row r="2068">
      <c r="A2068" t="n">
        <v>2067</v>
      </c>
      <c r="R2068">
        <f>IF(Q2068="","",IF(Q2068&gt;=60,"HIGH",IF(Q2068&gt;=30,"MEDIUM","LOW")))</f>
        <v/>
      </c>
    </row>
    <row r="2069">
      <c r="A2069" t="n">
        <v>2068</v>
      </c>
      <c r="R2069">
        <f>IF(Q2069="","",IF(Q2069&gt;=60,"HIGH",IF(Q2069&gt;=30,"MEDIUM","LOW")))</f>
        <v/>
      </c>
    </row>
    <row r="2070">
      <c r="A2070" t="n">
        <v>2069</v>
      </c>
      <c r="R2070">
        <f>IF(Q2070="","",IF(Q2070&gt;=60,"HIGH",IF(Q2070&gt;=30,"MEDIUM","LOW")))</f>
        <v/>
      </c>
    </row>
    <row r="2071">
      <c r="A2071" t="n">
        <v>2070</v>
      </c>
      <c r="R2071">
        <f>IF(Q2071="","",IF(Q2071&gt;=60,"HIGH",IF(Q2071&gt;=30,"MEDIUM","LOW")))</f>
        <v/>
      </c>
    </row>
    <row r="2072">
      <c r="A2072" t="n">
        <v>2071</v>
      </c>
      <c r="R2072">
        <f>IF(Q2072="","",IF(Q2072&gt;=60,"HIGH",IF(Q2072&gt;=30,"MEDIUM","LOW")))</f>
        <v/>
      </c>
    </row>
    <row r="2073">
      <c r="A2073" t="n">
        <v>2072</v>
      </c>
      <c r="R2073">
        <f>IF(Q2073="","",IF(Q2073&gt;=60,"HIGH",IF(Q2073&gt;=30,"MEDIUM","LOW")))</f>
        <v/>
      </c>
    </row>
    <row r="2074">
      <c r="A2074" t="n">
        <v>2073</v>
      </c>
      <c r="R2074">
        <f>IF(Q2074="","",IF(Q2074&gt;=60,"HIGH",IF(Q2074&gt;=30,"MEDIUM","LOW")))</f>
        <v/>
      </c>
    </row>
    <row r="2075">
      <c r="A2075" t="n">
        <v>2074</v>
      </c>
      <c r="R2075">
        <f>IF(Q2075="","",IF(Q2075&gt;=60,"HIGH",IF(Q2075&gt;=30,"MEDIUM","LOW")))</f>
        <v/>
      </c>
    </row>
    <row r="2076">
      <c r="A2076" t="n">
        <v>2075</v>
      </c>
      <c r="R2076">
        <f>IF(Q2076="","",IF(Q2076&gt;=60,"HIGH",IF(Q2076&gt;=30,"MEDIUM","LOW")))</f>
        <v/>
      </c>
    </row>
    <row r="2077">
      <c r="A2077" t="n">
        <v>2076</v>
      </c>
      <c r="R2077">
        <f>IF(Q2077="","",IF(Q2077&gt;=60,"HIGH",IF(Q2077&gt;=30,"MEDIUM","LOW")))</f>
        <v/>
      </c>
    </row>
    <row r="2078">
      <c r="A2078" t="n">
        <v>2077</v>
      </c>
      <c r="R2078">
        <f>IF(Q2078="","",IF(Q2078&gt;=60,"HIGH",IF(Q2078&gt;=30,"MEDIUM","LOW")))</f>
        <v/>
      </c>
    </row>
    <row r="2079">
      <c r="A2079" t="n">
        <v>2078</v>
      </c>
      <c r="R2079">
        <f>IF(Q2079="","",IF(Q2079&gt;=60,"HIGH",IF(Q2079&gt;=30,"MEDIUM","LOW")))</f>
        <v/>
      </c>
    </row>
    <row r="2080">
      <c r="A2080" t="n">
        <v>2079</v>
      </c>
      <c r="R2080">
        <f>IF(Q2080="","",IF(Q2080&gt;=60,"HIGH",IF(Q2080&gt;=30,"MEDIUM","LOW")))</f>
        <v/>
      </c>
    </row>
    <row r="2081">
      <c r="A2081" t="n">
        <v>2080</v>
      </c>
      <c r="R2081">
        <f>IF(Q2081="","",IF(Q2081&gt;=60,"HIGH",IF(Q2081&gt;=30,"MEDIUM","LOW")))</f>
        <v/>
      </c>
    </row>
    <row r="2082">
      <c r="A2082" t="n">
        <v>2081</v>
      </c>
      <c r="R2082">
        <f>IF(Q2082="","",IF(Q2082&gt;=60,"HIGH",IF(Q2082&gt;=30,"MEDIUM","LOW")))</f>
        <v/>
      </c>
    </row>
    <row r="2083">
      <c r="A2083" t="n">
        <v>2082</v>
      </c>
      <c r="R2083">
        <f>IF(Q2083="","",IF(Q2083&gt;=60,"HIGH",IF(Q2083&gt;=30,"MEDIUM","LOW")))</f>
        <v/>
      </c>
    </row>
    <row r="2084">
      <c r="A2084" t="n">
        <v>2083</v>
      </c>
      <c r="R2084">
        <f>IF(Q2084="","",IF(Q2084&gt;=60,"HIGH",IF(Q2084&gt;=30,"MEDIUM","LOW")))</f>
        <v/>
      </c>
    </row>
    <row r="2085">
      <c r="A2085" t="n">
        <v>2084</v>
      </c>
      <c r="R2085">
        <f>IF(Q2085="","",IF(Q2085&gt;=60,"HIGH",IF(Q2085&gt;=30,"MEDIUM","LOW")))</f>
        <v/>
      </c>
    </row>
    <row r="2086">
      <c r="A2086" t="n">
        <v>2085</v>
      </c>
      <c r="R2086">
        <f>IF(Q2086="","",IF(Q2086&gt;=60,"HIGH",IF(Q2086&gt;=30,"MEDIUM","LOW")))</f>
        <v/>
      </c>
    </row>
    <row r="2087">
      <c r="A2087" t="n">
        <v>2086</v>
      </c>
      <c r="R2087">
        <f>IF(Q2087="","",IF(Q2087&gt;=60,"HIGH",IF(Q2087&gt;=30,"MEDIUM","LOW")))</f>
        <v/>
      </c>
    </row>
    <row r="2088">
      <c r="A2088" t="n">
        <v>2087</v>
      </c>
      <c r="R2088">
        <f>IF(Q2088="","",IF(Q2088&gt;=60,"HIGH",IF(Q2088&gt;=30,"MEDIUM","LOW")))</f>
        <v/>
      </c>
    </row>
    <row r="2089">
      <c r="A2089" t="n">
        <v>2088</v>
      </c>
      <c r="R2089">
        <f>IF(Q2089="","",IF(Q2089&gt;=60,"HIGH",IF(Q2089&gt;=30,"MEDIUM","LOW")))</f>
        <v/>
      </c>
    </row>
    <row r="2090">
      <c r="A2090" t="n">
        <v>2089</v>
      </c>
      <c r="R2090">
        <f>IF(Q2090="","",IF(Q2090&gt;=60,"HIGH",IF(Q2090&gt;=30,"MEDIUM","LOW")))</f>
        <v/>
      </c>
    </row>
    <row r="2091">
      <c r="A2091" t="n">
        <v>2090</v>
      </c>
      <c r="R2091">
        <f>IF(Q2091="","",IF(Q2091&gt;=60,"HIGH",IF(Q2091&gt;=30,"MEDIUM","LOW")))</f>
        <v/>
      </c>
    </row>
    <row r="2092">
      <c r="A2092" t="n">
        <v>2091</v>
      </c>
      <c r="R2092">
        <f>IF(Q2092="","",IF(Q2092&gt;=60,"HIGH",IF(Q2092&gt;=30,"MEDIUM","LOW")))</f>
        <v/>
      </c>
    </row>
    <row r="2093">
      <c r="A2093" t="n">
        <v>2092</v>
      </c>
      <c r="R2093">
        <f>IF(Q2093="","",IF(Q2093&gt;=60,"HIGH",IF(Q2093&gt;=30,"MEDIUM","LOW")))</f>
        <v/>
      </c>
    </row>
    <row r="2094">
      <c r="A2094" t="n">
        <v>2093</v>
      </c>
      <c r="R2094">
        <f>IF(Q2094="","",IF(Q2094&gt;=60,"HIGH",IF(Q2094&gt;=30,"MEDIUM","LOW")))</f>
        <v/>
      </c>
    </row>
    <row r="2095">
      <c r="A2095" t="n">
        <v>2094</v>
      </c>
      <c r="R2095">
        <f>IF(Q2095="","",IF(Q2095&gt;=60,"HIGH",IF(Q2095&gt;=30,"MEDIUM","LOW")))</f>
        <v/>
      </c>
    </row>
    <row r="2096">
      <c r="A2096" t="n">
        <v>2095</v>
      </c>
      <c r="R2096">
        <f>IF(Q2096="","",IF(Q2096&gt;=60,"HIGH",IF(Q2096&gt;=30,"MEDIUM","LOW")))</f>
        <v/>
      </c>
    </row>
    <row r="2097">
      <c r="A2097" t="n">
        <v>2096</v>
      </c>
      <c r="R2097">
        <f>IF(Q2097="","",IF(Q2097&gt;=60,"HIGH",IF(Q2097&gt;=30,"MEDIUM","LOW")))</f>
        <v/>
      </c>
    </row>
    <row r="2098">
      <c r="A2098" t="n">
        <v>2097</v>
      </c>
      <c r="R2098">
        <f>IF(Q2098="","",IF(Q2098&gt;=60,"HIGH",IF(Q2098&gt;=30,"MEDIUM","LOW")))</f>
        <v/>
      </c>
    </row>
    <row r="2099">
      <c r="A2099" t="n">
        <v>2098</v>
      </c>
      <c r="R2099">
        <f>IF(Q2099="","",IF(Q2099&gt;=60,"HIGH",IF(Q2099&gt;=30,"MEDIUM","LOW")))</f>
        <v/>
      </c>
    </row>
    <row r="2100">
      <c r="A2100" t="n">
        <v>2099</v>
      </c>
      <c r="R2100">
        <f>IF(Q2100="","",IF(Q2100&gt;=60,"HIGH",IF(Q2100&gt;=30,"MEDIUM","LOW")))</f>
        <v/>
      </c>
    </row>
    <row r="2101">
      <c r="A2101" t="n">
        <v>2100</v>
      </c>
      <c r="R2101">
        <f>IF(Q2101="","",IF(Q2101&gt;=60,"HIGH",IF(Q2101&gt;=30,"MEDIUM","LOW")))</f>
        <v/>
      </c>
    </row>
    <row r="2102">
      <c r="A2102" t="n">
        <v>2101</v>
      </c>
      <c r="R2102">
        <f>IF(Q2102="","",IF(Q2102&gt;=60,"HIGH",IF(Q2102&gt;=30,"MEDIUM","LOW")))</f>
        <v/>
      </c>
    </row>
    <row r="2103">
      <c r="A2103" t="n">
        <v>2102</v>
      </c>
      <c r="R2103">
        <f>IF(Q2103="","",IF(Q2103&gt;=60,"HIGH",IF(Q2103&gt;=30,"MEDIUM","LOW")))</f>
        <v/>
      </c>
    </row>
    <row r="2104">
      <c r="A2104" t="n">
        <v>2103</v>
      </c>
      <c r="R2104">
        <f>IF(Q2104="","",IF(Q2104&gt;=60,"HIGH",IF(Q2104&gt;=30,"MEDIUM","LOW")))</f>
        <v/>
      </c>
    </row>
    <row r="2105">
      <c r="A2105" t="n">
        <v>2104</v>
      </c>
      <c r="R2105">
        <f>IF(Q2105="","",IF(Q2105&gt;=60,"HIGH",IF(Q2105&gt;=30,"MEDIUM","LOW")))</f>
        <v/>
      </c>
    </row>
    <row r="2106">
      <c r="A2106" t="n">
        <v>2105</v>
      </c>
      <c r="R2106">
        <f>IF(Q2106="","",IF(Q2106&gt;=60,"HIGH",IF(Q2106&gt;=30,"MEDIUM","LOW")))</f>
        <v/>
      </c>
    </row>
    <row r="2107">
      <c r="A2107" t="n">
        <v>2106</v>
      </c>
      <c r="R2107">
        <f>IF(Q2107="","",IF(Q2107&gt;=60,"HIGH",IF(Q2107&gt;=30,"MEDIUM","LOW")))</f>
        <v/>
      </c>
    </row>
    <row r="2108">
      <c r="A2108" t="n">
        <v>2107</v>
      </c>
      <c r="R2108">
        <f>IF(Q2108="","",IF(Q2108&gt;=60,"HIGH",IF(Q2108&gt;=30,"MEDIUM","LOW")))</f>
        <v/>
      </c>
    </row>
    <row r="2109">
      <c r="A2109" t="n">
        <v>2108</v>
      </c>
      <c r="R2109">
        <f>IF(Q2109="","",IF(Q2109&gt;=60,"HIGH",IF(Q2109&gt;=30,"MEDIUM","LOW")))</f>
        <v/>
      </c>
    </row>
    <row r="2110">
      <c r="A2110" t="n">
        <v>2109</v>
      </c>
      <c r="R2110">
        <f>IF(Q2110="","",IF(Q2110&gt;=60,"HIGH",IF(Q2110&gt;=30,"MEDIUM","LOW")))</f>
        <v/>
      </c>
    </row>
    <row r="2111">
      <c r="A2111" t="n">
        <v>2110</v>
      </c>
      <c r="R2111">
        <f>IF(Q2111="","",IF(Q2111&gt;=60,"HIGH",IF(Q2111&gt;=30,"MEDIUM","LOW")))</f>
        <v/>
      </c>
    </row>
    <row r="2112">
      <c r="A2112" t="n">
        <v>2111</v>
      </c>
      <c r="R2112">
        <f>IF(Q2112="","",IF(Q2112&gt;=60,"HIGH",IF(Q2112&gt;=30,"MEDIUM","LOW")))</f>
        <v/>
      </c>
    </row>
    <row r="2113">
      <c r="A2113" t="n">
        <v>2112</v>
      </c>
      <c r="R2113">
        <f>IF(Q2113="","",IF(Q2113&gt;=60,"HIGH",IF(Q2113&gt;=30,"MEDIUM","LOW")))</f>
        <v/>
      </c>
    </row>
    <row r="2114">
      <c r="A2114" t="n">
        <v>2113</v>
      </c>
      <c r="R2114">
        <f>IF(Q2114="","",IF(Q2114&gt;=60,"HIGH",IF(Q2114&gt;=30,"MEDIUM","LOW")))</f>
        <v/>
      </c>
    </row>
    <row r="2115">
      <c r="A2115" t="n">
        <v>2114</v>
      </c>
      <c r="R2115">
        <f>IF(Q2115="","",IF(Q2115&gt;=60,"HIGH",IF(Q2115&gt;=30,"MEDIUM","LOW")))</f>
        <v/>
      </c>
    </row>
    <row r="2116">
      <c r="A2116" t="n">
        <v>2115</v>
      </c>
      <c r="R2116">
        <f>IF(Q2116="","",IF(Q2116&gt;=60,"HIGH",IF(Q2116&gt;=30,"MEDIUM","LOW")))</f>
        <v/>
      </c>
    </row>
    <row r="2117">
      <c r="A2117" t="n">
        <v>2116</v>
      </c>
      <c r="R2117">
        <f>IF(Q2117="","",IF(Q2117&gt;=60,"HIGH",IF(Q2117&gt;=30,"MEDIUM","LOW")))</f>
        <v/>
      </c>
    </row>
    <row r="2118">
      <c r="A2118" t="n">
        <v>2117</v>
      </c>
      <c r="R2118">
        <f>IF(Q2118="","",IF(Q2118&gt;=60,"HIGH",IF(Q2118&gt;=30,"MEDIUM","LOW")))</f>
        <v/>
      </c>
    </row>
    <row r="2119">
      <c r="A2119" t="n">
        <v>2118</v>
      </c>
      <c r="R2119">
        <f>IF(Q2119="","",IF(Q2119&gt;=60,"HIGH",IF(Q2119&gt;=30,"MEDIUM","LOW")))</f>
        <v/>
      </c>
    </row>
    <row r="2120">
      <c r="A2120" t="n">
        <v>2119</v>
      </c>
      <c r="R2120">
        <f>IF(Q2120="","",IF(Q2120&gt;=60,"HIGH",IF(Q2120&gt;=30,"MEDIUM","LOW")))</f>
        <v/>
      </c>
    </row>
    <row r="2121">
      <c r="A2121" t="n">
        <v>2120</v>
      </c>
      <c r="R2121">
        <f>IF(Q2121="","",IF(Q2121&gt;=60,"HIGH",IF(Q2121&gt;=30,"MEDIUM","LOW")))</f>
        <v/>
      </c>
    </row>
    <row r="2122">
      <c r="A2122" t="n">
        <v>2121</v>
      </c>
      <c r="R2122">
        <f>IF(Q2122="","",IF(Q2122&gt;=60,"HIGH",IF(Q2122&gt;=30,"MEDIUM","LOW")))</f>
        <v/>
      </c>
    </row>
    <row r="2123">
      <c r="A2123" t="n">
        <v>2122</v>
      </c>
      <c r="R2123">
        <f>IF(Q2123="","",IF(Q2123&gt;=60,"HIGH",IF(Q2123&gt;=30,"MEDIUM","LOW")))</f>
        <v/>
      </c>
    </row>
    <row r="2124">
      <c r="A2124" t="n">
        <v>2123</v>
      </c>
      <c r="R2124">
        <f>IF(Q2124="","",IF(Q2124&gt;=60,"HIGH",IF(Q2124&gt;=30,"MEDIUM","LOW")))</f>
        <v/>
      </c>
    </row>
    <row r="2125">
      <c r="A2125" t="n">
        <v>2124</v>
      </c>
      <c r="R2125">
        <f>IF(Q2125="","",IF(Q2125&gt;=60,"HIGH",IF(Q2125&gt;=30,"MEDIUM","LOW")))</f>
        <v/>
      </c>
    </row>
    <row r="2126">
      <c r="A2126" t="n">
        <v>2125</v>
      </c>
      <c r="R2126">
        <f>IF(Q2126="","",IF(Q2126&gt;=60,"HIGH",IF(Q2126&gt;=30,"MEDIUM","LOW")))</f>
        <v/>
      </c>
    </row>
    <row r="2127">
      <c r="A2127" t="n">
        <v>2126</v>
      </c>
      <c r="R2127">
        <f>IF(Q2127="","",IF(Q2127&gt;=60,"HIGH",IF(Q2127&gt;=30,"MEDIUM","LOW")))</f>
        <v/>
      </c>
    </row>
    <row r="2128">
      <c r="A2128" t="n">
        <v>2127</v>
      </c>
      <c r="R2128">
        <f>IF(Q2128="","",IF(Q2128&gt;=60,"HIGH",IF(Q2128&gt;=30,"MEDIUM","LOW")))</f>
        <v/>
      </c>
    </row>
    <row r="2129">
      <c r="A2129" t="n">
        <v>2128</v>
      </c>
      <c r="R2129">
        <f>IF(Q2129="","",IF(Q2129&gt;=60,"HIGH",IF(Q2129&gt;=30,"MEDIUM","LOW")))</f>
        <v/>
      </c>
    </row>
    <row r="2130">
      <c r="A2130" t="n">
        <v>2129</v>
      </c>
      <c r="R2130">
        <f>IF(Q2130="","",IF(Q2130&gt;=60,"HIGH",IF(Q2130&gt;=30,"MEDIUM","LOW")))</f>
        <v/>
      </c>
    </row>
    <row r="2131">
      <c r="A2131" t="n">
        <v>2130</v>
      </c>
      <c r="R2131">
        <f>IF(Q2131="","",IF(Q2131&gt;=60,"HIGH",IF(Q2131&gt;=30,"MEDIUM","LOW")))</f>
        <v/>
      </c>
    </row>
    <row r="2132">
      <c r="A2132" t="n">
        <v>2131</v>
      </c>
      <c r="R2132">
        <f>IF(Q2132="","",IF(Q2132&gt;=60,"HIGH",IF(Q2132&gt;=30,"MEDIUM","LOW")))</f>
        <v/>
      </c>
    </row>
    <row r="2133">
      <c r="A2133" t="n">
        <v>2132</v>
      </c>
      <c r="R2133">
        <f>IF(Q2133="","",IF(Q2133&gt;=60,"HIGH",IF(Q2133&gt;=30,"MEDIUM","LOW")))</f>
        <v/>
      </c>
    </row>
    <row r="2134">
      <c r="A2134" t="n">
        <v>2133</v>
      </c>
      <c r="R2134">
        <f>IF(Q2134="","",IF(Q2134&gt;=60,"HIGH",IF(Q2134&gt;=30,"MEDIUM","LOW")))</f>
        <v/>
      </c>
    </row>
    <row r="2135">
      <c r="A2135" t="n">
        <v>2134</v>
      </c>
      <c r="R2135">
        <f>IF(Q2135="","",IF(Q2135&gt;=60,"HIGH",IF(Q2135&gt;=30,"MEDIUM","LOW")))</f>
        <v/>
      </c>
    </row>
    <row r="2136">
      <c r="A2136" t="n">
        <v>2135</v>
      </c>
      <c r="R2136">
        <f>IF(Q2136="","",IF(Q2136&gt;=60,"HIGH",IF(Q2136&gt;=30,"MEDIUM","LOW")))</f>
        <v/>
      </c>
    </row>
    <row r="2137">
      <c r="A2137" t="n">
        <v>2136</v>
      </c>
      <c r="R2137">
        <f>IF(Q2137="","",IF(Q2137&gt;=60,"HIGH",IF(Q2137&gt;=30,"MEDIUM","LOW")))</f>
        <v/>
      </c>
    </row>
    <row r="2138">
      <c r="A2138" t="n">
        <v>2137</v>
      </c>
      <c r="R2138">
        <f>IF(Q2138="","",IF(Q2138&gt;=60,"HIGH",IF(Q2138&gt;=30,"MEDIUM","LOW")))</f>
        <v/>
      </c>
    </row>
    <row r="2139">
      <c r="A2139" t="n">
        <v>2138</v>
      </c>
      <c r="R2139">
        <f>IF(Q2139="","",IF(Q2139&gt;=60,"HIGH",IF(Q2139&gt;=30,"MEDIUM","LOW")))</f>
        <v/>
      </c>
    </row>
    <row r="2140">
      <c r="A2140" t="n">
        <v>2139</v>
      </c>
      <c r="R2140">
        <f>IF(Q2140="","",IF(Q2140&gt;=60,"HIGH",IF(Q2140&gt;=30,"MEDIUM","LOW")))</f>
        <v/>
      </c>
    </row>
    <row r="2141">
      <c r="A2141" t="n">
        <v>2140</v>
      </c>
      <c r="R2141">
        <f>IF(Q2141="","",IF(Q2141&gt;=60,"HIGH",IF(Q2141&gt;=30,"MEDIUM","LOW")))</f>
        <v/>
      </c>
    </row>
    <row r="2142">
      <c r="A2142" t="n">
        <v>2141</v>
      </c>
      <c r="R2142">
        <f>IF(Q2142="","",IF(Q2142&gt;=60,"HIGH",IF(Q2142&gt;=30,"MEDIUM","LOW")))</f>
        <v/>
      </c>
    </row>
    <row r="2143">
      <c r="A2143" t="n">
        <v>2142</v>
      </c>
      <c r="R2143">
        <f>IF(Q2143="","",IF(Q2143&gt;=60,"HIGH",IF(Q2143&gt;=30,"MEDIUM","LOW")))</f>
        <v/>
      </c>
    </row>
    <row r="2144">
      <c r="A2144" t="n">
        <v>2143</v>
      </c>
      <c r="R2144">
        <f>IF(Q2144="","",IF(Q2144&gt;=60,"HIGH",IF(Q2144&gt;=30,"MEDIUM","LOW")))</f>
        <v/>
      </c>
    </row>
    <row r="2145">
      <c r="A2145" t="n">
        <v>2144</v>
      </c>
      <c r="R2145">
        <f>IF(Q2145="","",IF(Q2145&gt;=60,"HIGH",IF(Q2145&gt;=30,"MEDIUM","LOW")))</f>
        <v/>
      </c>
    </row>
    <row r="2146">
      <c r="A2146" t="n">
        <v>2145</v>
      </c>
      <c r="R2146">
        <f>IF(Q2146="","",IF(Q2146&gt;=60,"HIGH",IF(Q2146&gt;=30,"MEDIUM","LOW")))</f>
        <v/>
      </c>
    </row>
    <row r="2147">
      <c r="A2147" t="n">
        <v>2146</v>
      </c>
      <c r="R2147">
        <f>IF(Q2147="","",IF(Q2147&gt;=60,"HIGH",IF(Q2147&gt;=30,"MEDIUM","LOW")))</f>
        <v/>
      </c>
    </row>
    <row r="2148">
      <c r="A2148" t="n">
        <v>2147</v>
      </c>
      <c r="R2148">
        <f>IF(Q2148="","",IF(Q2148&gt;=60,"HIGH",IF(Q2148&gt;=30,"MEDIUM","LOW")))</f>
        <v/>
      </c>
    </row>
    <row r="2149">
      <c r="A2149" t="n">
        <v>2148</v>
      </c>
      <c r="R2149">
        <f>IF(Q2149="","",IF(Q2149&gt;=60,"HIGH",IF(Q2149&gt;=30,"MEDIUM","LOW")))</f>
        <v/>
      </c>
    </row>
    <row r="2150">
      <c r="A2150" t="n">
        <v>2149</v>
      </c>
      <c r="R2150">
        <f>IF(Q2150="","",IF(Q2150&gt;=60,"HIGH",IF(Q2150&gt;=30,"MEDIUM","LOW")))</f>
        <v/>
      </c>
    </row>
    <row r="2151">
      <c r="A2151" t="n">
        <v>2150</v>
      </c>
      <c r="R2151">
        <f>IF(Q2151="","",IF(Q2151&gt;=60,"HIGH",IF(Q2151&gt;=30,"MEDIUM","LOW")))</f>
        <v/>
      </c>
    </row>
    <row r="2152">
      <c r="A2152" t="n">
        <v>2151</v>
      </c>
      <c r="R2152">
        <f>IF(Q2152="","",IF(Q2152&gt;=60,"HIGH",IF(Q2152&gt;=30,"MEDIUM","LOW")))</f>
        <v/>
      </c>
    </row>
    <row r="2153">
      <c r="A2153" t="n">
        <v>2152</v>
      </c>
      <c r="R2153">
        <f>IF(Q2153="","",IF(Q2153&gt;=60,"HIGH",IF(Q2153&gt;=30,"MEDIUM","LOW")))</f>
        <v/>
      </c>
    </row>
    <row r="2154">
      <c r="A2154" t="n">
        <v>2153</v>
      </c>
      <c r="R2154">
        <f>IF(Q2154="","",IF(Q2154&gt;=60,"HIGH",IF(Q2154&gt;=30,"MEDIUM","LOW")))</f>
        <v/>
      </c>
    </row>
    <row r="2155">
      <c r="A2155" t="n">
        <v>2154</v>
      </c>
      <c r="R2155">
        <f>IF(Q2155="","",IF(Q2155&gt;=60,"HIGH",IF(Q2155&gt;=30,"MEDIUM","LOW")))</f>
        <v/>
      </c>
    </row>
    <row r="2156">
      <c r="A2156" t="n">
        <v>2155</v>
      </c>
      <c r="R2156">
        <f>IF(Q2156="","",IF(Q2156&gt;=60,"HIGH",IF(Q2156&gt;=30,"MEDIUM","LOW")))</f>
        <v/>
      </c>
    </row>
    <row r="2157">
      <c r="A2157" t="n">
        <v>2156</v>
      </c>
      <c r="R2157">
        <f>IF(Q2157="","",IF(Q2157&gt;=60,"HIGH",IF(Q2157&gt;=30,"MEDIUM","LOW")))</f>
        <v/>
      </c>
    </row>
    <row r="2158">
      <c r="A2158" t="n">
        <v>2157</v>
      </c>
      <c r="R2158">
        <f>IF(Q2158="","",IF(Q2158&gt;=60,"HIGH",IF(Q2158&gt;=30,"MEDIUM","LOW")))</f>
        <v/>
      </c>
    </row>
    <row r="2159">
      <c r="A2159" t="n">
        <v>2158</v>
      </c>
      <c r="R2159">
        <f>IF(Q2159="","",IF(Q2159&gt;=60,"HIGH",IF(Q2159&gt;=30,"MEDIUM","LOW")))</f>
        <v/>
      </c>
    </row>
    <row r="2160">
      <c r="A2160" t="n">
        <v>2159</v>
      </c>
      <c r="R2160">
        <f>IF(Q2160="","",IF(Q2160&gt;=60,"HIGH",IF(Q2160&gt;=30,"MEDIUM","LOW")))</f>
        <v/>
      </c>
    </row>
    <row r="2161">
      <c r="A2161" t="n">
        <v>2160</v>
      </c>
      <c r="R2161">
        <f>IF(Q2161="","",IF(Q2161&gt;=60,"HIGH",IF(Q2161&gt;=30,"MEDIUM","LOW")))</f>
        <v/>
      </c>
    </row>
    <row r="2162">
      <c r="A2162" t="n">
        <v>2161</v>
      </c>
      <c r="R2162">
        <f>IF(Q2162="","",IF(Q2162&gt;=60,"HIGH",IF(Q2162&gt;=30,"MEDIUM","LOW")))</f>
        <v/>
      </c>
    </row>
    <row r="2163">
      <c r="A2163" t="n">
        <v>2162</v>
      </c>
      <c r="R2163">
        <f>IF(Q2163="","",IF(Q2163&gt;=60,"HIGH",IF(Q2163&gt;=30,"MEDIUM","LOW")))</f>
        <v/>
      </c>
    </row>
    <row r="2164">
      <c r="A2164" t="n">
        <v>2163</v>
      </c>
      <c r="R2164">
        <f>IF(Q2164="","",IF(Q2164&gt;=60,"HIGH",IF(Q2164&gt;=30,"MEDIUM","LOW")))</f>
        <v/>
      </c>
    </row>
    <row r="2165">
      <c r="A2165" t="n">
        <v>2164</v>
      </c>
      <c r="R2165">
        <f>IF(Q2165="","",IF(Q2165&gt;=60,"HIGH",IF(Q2165&gt;=30,"MEDIUM","LOW")))</f>
        <v/>
      </c>
    </row>
    <row r="2166">
      <c r="A2166" t="n">
        <v>2165</v>
      </c>
      <c r="R2166">
        <f>IF(Q2166="","",IF(Q2166&gt;=60,"HIGH",IF(Q2166&gt;=30,"MEDIUM","LOW")))</f>
        <v/>
      </c>
    </row>
    <row r="2167">
      <c r="A2167" t="n">
        <v>2166</v>
      </c>
      <c r="R2167">
        <f>IF(Q2167="","",IF(Q2167&gt;=60,"HIGH",IF(Q2167&gt;=30,"MEDIUM","LOW")))</f>
        <v/>
      </c>
    </row>
    <row r="2168">
      <c r="A2168" t="n">
        <v>2167</v>
      </c>
      <c r="R2168">
        <f>IF(Q2168="","",IF(Q2168&gt;=60,"HIGH",IF(Q2168&gt;=30,"MEDIUM","LOW")))</f>
        <v/>
      </c>
    </row>
    <row r="2169">
      <c r="A2169" t="n">
        <v>2168</v>
      </c>
      <c r="R2169">
        <f>IF(Q2169="","",IF(Q2169&gt;=60,"HIGH",IF(Q2169&gt;=30,"MEDIUM","LOW")))</f>
        <v/>
      </c>
    </row>
    <row r="2170">
      <c r="A2170" t="n">
        <v>2169</v>
      </c>
      <c r="R2170">
        <f>IF(Q2170="","",IF(Q2170&gt;=60,"HIGH",IF(Q2170&gt;=30,"MEDIUM","LOW")))</f>
        <v/>
      </c>
    </row>
    <row r="2171">
      <c r="A2171" t="n">
        <v>2170</v>
      </c>
      <c r="R2171">
        <f>IF(Q2171="","",IF(Q2171&gt;=60,"HIGH",IF(Q2171&gt;=30,"MEDIUM","LOW")))</f>
        <v/>
      </c>
    </row>
    <row r="2172">
      <c r="A2172" t="n">
        <v>2171</v>
      </c>
      <c r="R2172">
        <f>IF(Q2172="","",IF(Q2172&gt;=60,"HIGH",IF(Q2172&gt;=30,"MEDIUM","LOW")))</f>
        <v/>
      </c>
    </row>
    <row r="2173">
      <c r="A2173" t="n">
        <v>2172</v>
      </c>
      <c r="R2173">
        <f>IF(Q2173="","",IF(Q2173&gt;=60,"HIGH",IF(Q2173&gt;=30,"MEDIUM","LOW")))</f>
        <v/>
      </c>
    </row>
    <row r="2174">
      <c r="A2174" t="n">
        <v>2173</v>
      </c>
      <c r="R2174">
        <f>IF(Q2174="","",IF(Q2174&gt;=60,"HIGH",IF(Q2174&gt;=30,"MEDIUM","LOW")))</f>
        <v/>
      </c>
    </row>
    <row r="2175">
      <c r="A2175" t="n">
        <v>2174</v>
      </c>
      <c r="R2175">
        <f>IF(Q2175="","",IF(Q2175&gt;=60,"HIGH",IF(Q2175&gt;=30,"MEDIUM","LOW")))</f>
        <v/>
      </c>
    </row>
    <row r="2176">
      <c r="A2176" t="n">
        <v>2175</v>
      </c>
      <c r="R2176">
        <f>IF(Q2176="","",IF(Q2176&gt;=60,"HIGH",IF(Q2176&gt;=30,"MEDIUM","LOW")))</f>
        <v/>
      </c>
    </row>
    <row r="2177">
      <c r="A2177" t="n">
        <v>2176</v>
      </c>
      <c r="R2177">
        <f>IF(Q2177="","",IF(Q2177&gt;=60,"HIGH",IF(Q2177&gt;=30,"MEDIUM","LOW")))</f>
        <v/>
      </c>
    </row>
    <row r="2178">
      <c r="A2178" t="n">
        <v>2177</v>
      </c>
      <c r="R2178">
        <f>IF(Q2178="","",IF(Q2178&gt;=60,"HIGH",IF(Q2178&gt;=30,"MEDIUM","LOW")))</f>
        <v/>
      </c>
    </row>
    <row r="2179">
      <c r="A2179" t="n">
        <v>2178</v>
      </c>
      <c r="R2179">
        <f>IF(Q2179="","",IF(Q2179&gt;=60,"HIGH",IF(Q2179&gt;=30,"MEDIUM","LOW")))</f>
        <v/>
      </c>
    </row>
    <row r="2180">
      <c r="A2180" t="n">
        <v>2179</v>
      </c>
      <c r="R2180">
        <f>IF(Q2180="","",IF(Q2180&gt;=60,"HIGH",IF(Q2180&gt;=30,"MEDIUM","LOW")))</f>
        <v/>
      </c>
    </row>
    <row r="2181">
      <c r="A2181" t="n">
        <v>2180</v>
      </c>
      <c r="R2181">
        <f>IF(Q2181="","",IF(Q2181&gt;=60,"HIGH",IF(Q2181&gt;=30,"MEDIUM","LOW")))</f>
        <v/>
      </c>
    </row>
    <row r="2182">
      <c r="A2182" t="n">
        <v>2181</v>
      </c>
      <c r="R2182">
        <f>IF(Q2182="","",IF(Q2182&gt;=60,"HIGH",IF(Q2182&gt;=30,"MEDIUM","LOW")))</f>
        <v/>
      </c>
    </row>
    <row r="2183">
      <c r="A2183" t="n">
        <v>2182</v>
      </c>
      <c r="R2183">
        <f>IF(Q2183="","",IF(Q2183&gt;=60,"HIGH",IF(Q2183&gt;=30,"MEDIUM","LOW")))</f>
        <v/>
      </c>
    </row>
    <row r="2184">
      <c r="A2184" t="n">
        <v>2183</v>
      </c>
      <c r="R2184">
        <f>IF(Q2184="","",IF(Q2184&gt;=60,"HIGH",IF(Q2184&gt;=30,"MEDIUM","LOW")))</f>
        <v/>
      </c>
    </row>
    <row r="2185">
      <c r="A2185" t="n">
        <v>2184</v>
      </c>
      <c r="R2185">
        <f>IF(Q2185="","",IF(Q2185&gt;=60,"HIGH",IF(Q2185&gt;=30,"MEDIUM","LOW")))</f>
        <v/>
      </c>
    </row>
    <row r="2186">
      <c r="A2186" t="n">
        <v>2185</v>
      </c>
      <c r="R2186">
        <f>IF(Q2186="","",IF(Q2186&gt;=60,"HIGH",IF(Q2186&gt;=30,"MEDIUM","LOW")))</f>
        <v/>
      </c>
    </row>
    <row r="2187">
      <c r="A2187" t="n">
        <v>2186</v>
      </c>
      <c r="R2187">
        <f>IF(Q2187="","",IF(Q2187&gt;=60,"HIGH",IF(Q2187&gt;=30,"MEDIUM","LOW")))</f>
        <v/>
      </c>
    </row>
    <row r="2188">
      <c r="A2188" t="n">
        <v>2187</v>
      </c>
      <c r="R2188">
        <f>IF(Q2188="","",IF(Q2188&gt;=60,"HIGH",IF(Q2188&gt;=30,"MEDIUM","LOW")))</f>
        <v/>
      </c>
    </row>
    <row r="2189">
      <c r="A2189" t="n">
        <v>2188</v>
      </c>
      <c r="R2189">
        <f>IF(Q2189="","",IF(Q2189&gt;=60,"HIGH",IF(Q2189&gt;=30,"MEDIUM","LOW")))</f>
        <v/>
      </c>
    </row>
    <row r="2190">
      <c r="A2190" t="n">
        <v>2189</v>
      </c>
      <c r="R2190">
        <f>IF(Q2190="","",IF(Q2190&gt;=60,"HIGH",IF(Q2190&gt;=30,"MEDIUM","LOW")))</f>
        <v/>
      </c>
    </row>
    <row r="2191">
      <c r="A2191" t="n">
        <v>2190</v>
      </c>
      <c r="R2191">
        <f>IF(Q2191="","",IF(Q2191&gt;=60,"HIGH",IF(Q2191&gt;=30,"MEDIUM","LOW")))</f>
        <v/>
      </c>
    </row>
    <row r="2192">
      <c r="A2192" t="n">
        <v>2191</v>
      </c>
      <c r="R2192">
        <f>IF(Q2192="","",IF(Q2192&gt;=60,"HIGH",IF(Q2192&gt;=30,"MEDIUM","LOW")))</f>
        <v/>
      </c>
    </row>
    <row r="2193">
      <c r="A2193" t="n">
        <v>2192</v>
      </c>
      <c r="R2193">
        <f>IF(Q2193="","",IF(Q2193&gt;=60,"HIGH",IF(Q2193&gt;=30,"MEDIUM","LOW")))</f>
        <v/>
      </c>
    </row>
    <row r="2194">
      <c r="A2194" t="n">
        <v>2193</v>
      </c>
      <c r="R2194">
        <f>IF(Q2194="","",IF(Q2194&gt;=60,"HIGH",IF(Q2194&gt;=30,"MEDIUM","LOW")))</f>
        <v/>
      </c>
    </row>
    <row r="2195">
      <c r="A2195" t="n">
        <v>2194</v>
      </c>
      <c r="R2195">
        <f>IF(Q2195="","",IF(Q2195&gt;=60,"HIGH",IF(Q2195&gt;=30,"MEDIUM","LOW")))</f>
        <v/>
      </c>
    </row>
    <row r="2196">
      <c r="A2196" t="n">
        <v>2195</v>
      </c>
      <c r="R2196">
        <f>IF(Q2196="","",IF(Q2196&gt;=60,"HIGH",IF(Q2196&gt;=30,"MEDIUM","LOW")))</f>
        <v/>
      </c>
    </row>
    <row r="2197">
      <c r="A2197" t="n">
        <v>2196</v>
      </c>
      <c r="R2197">
        <f>IF(Q2197="","",IF(Q2197&gt;=60,"HIGH",IF(Q2197&gt;=30,"MEDIUM","LOW")))</f>
        <v/>
      </c>
    </row>
    <row r="2198">
      <c r="A2198" t="n">
        <v>2197</v>
      </c>
      <c r="R2198">
        <f>IF(Q2198="","",IF(Q2198&gt;=60,"HIGH",IF(Q2198&gt;=30,"MEDIUM","LOW")))</f>
        <v/>
      </c>
    </row>
    <row r="2199">
      <c r="A2199" t="n">
        <v>2198</v>
      </c>
      <c r="R2199">
        <f>IF(Q2199="","",IF(Q2199&gt;=60,"HIGH",IF(Q2199&gt;=30,"MEDIUM","LOW")))</f>
        <v/>
      </c>
    </row>
    <row r="2200">
      <c r="A2200" t="n">
        <v>2199</v>
      </c>
      <c r="R2200">
        <f>IF(Q2200="","",IF(Q2200&gt;=60,"HIGH",IF(Q2200&gt;=30,"MEDIUM","LOW")))</f>
        <v/>
      </c>
    </row>
    <row r="2201">
      <c r="A2201" t="n">
        <v>2200</v>
      </c>
      <c r="R2201">
        <f>IF(Q2201="","",IF(Q2201&gt;=60,"HIGH",IF(Q2201&gt;=30,"MEDIUM","LOW")))</f>
        <v/>
      </c>
    </row>
    <row r="2202">
      <c r="A2202" t="n">
        <v>2201</v>
      </c>
      <c r="R2202">
        <f>IF(Q2202="","",IF(Q2202&gt;=60,"HIGH",IF(Q2202&gt;=30,"MEDIUM","LOW")))</f>
        <v/>
      </c>
    </row>
    <row r="2203">
      <c r="A2203" t="n">
        <v>2202</v>
      </c>
      <c r="R2203">
        <f>IF(Q2203="","",IF(Q2203&gt;=60,"HIGH",IF(Q2203&gt;=30,"MEDIUM","LOW")))</f>
        <v/>
      </c>
    </row>
    <row r="2204">
      <c r="A2204" t="n">
        <v>2203</v>
      </c>
      <c r="R2204">
        <f>IF(Q2204="","",IF(Q2204&gt;=60,"HIGH",IF(Q2204&gt;=30,"MEDIUM","LOW")))</f>
        <v/>
      </c>
    </row>
    <row r="2205">
      <c r="A2205" t="n">
        <v>2204</v>
      </c>
      <c r="R2205">
        <f>IF(Q2205="","",IF(Q2205&gt;=60,"HIGH",IF(Q2205&gt;=30,"MEDIUM","LOW")))</f>
        <v/>
      </c>
    </row>
    <row r="2206">
      <c r="A2206" t="n">
        <v>2205</v>
      </c>
      <c r="R2206">
        <f>IF(Q2206="","",IF(Q2206&gt;=60,"HIGH",IF(Q2206&gt;=30,"MEDIUM","LOW")))</f>
        <v/>
      </c>
    </row>
    <row r="2207">
      <c r="A2207" t="n">
        <v>2206</v>
      </c>
      <c r="R2207">
        <f>IF(Q2207="","",IF(Q2207&gt;=60,"HIGH",IF(Q2207&gt;=30,"MEDIUM","LOW")))</f>
        <v/>
      </c>
    </row>
    <row r="2208">
      <c r="A2208" t="n">
        <v>2207</v>
      </c>
      <c r="R2208">
        <f>IF(Q2208="","",IF(Q2208&gt;=60,"HIGH",IF(Q2208&gt;=30,"MEDIUM","LOW")))</f>
        <v/>
      </c>
    </row>
    <row r="2209">
      <c r="A2209" t="n">
        <v>2208</v>
      </c>
      <c r="R2209">
        <f>IF(Q2209="","",IF(Q2209&gt;=60,"HIGH",IF(Q2209&gt;=30,"MEDIUM","LOW")))</f>
        <v/>
      </c>
    </row>
    <row r="2210">
      <c r="A2210" t="n">
        <v>2209</v>
      </c>
      <c r="R2210">
        <f>IF(Q2210="","",IF(Q2210&gt;=60,"HIGH",IF(Q2210&gt;=30,"MEDIUM","LOW")))</f>
        <v/>
      </c>
    </row>
    <row r="2211">
      <c r="A2211" t="n">
        <v>2210</v>
      </c>
      <c r="R2211">
        <f>IF(Q2211="","",IF(Q2211&gt;=60,"HIGH",IF(Q2211&gt;=30,"MEDIUM","LOW")))</f>
        <v/>
      </c>
    </row>
    <row r="2212">
      <c r="A2212" t="n">
        <v>2211</v>
      </c>
      <c r="R2212">
        <f>IF(Q2212="","",IF(Q2212&gt;=60,"HIGH",IF(Q2212&gt;=30,"MEDIUM","LOW")))</f>
        <v/>
      </c>
    </row>
    <row r="2213">
      <c r="A2213" t="n">
        <v>2212</v>
      </c>
      <c r="R2213">
        <f>IF(Q2213="","",IF(Q2213&gt;=60,"HIGH",IF(Q2213&gt;=30,"MEDIUM","LOW")))</f>
        <v/>
      </c>
    </row>
    <row r="2214">
      <c r="A2214" t="n">
        <v>2213</v>
      </c>
      <c r="R2214">
        <f>IF(Q2214="","",IF(Q2214&gt;=60,"HIGH",IF(Q2214&gt;=30,"MEDIUM","LOW")))</f>
        <v/>
      </c>
    </row>
    <row r="2215">
      <c r="A2215" t="n">
        <v>2214</v>
      </c>
      <c r="R2215">
        <f>IF(Q2215="","",IF(Q2215&gt;=60,"HIGH",IF(Q2215&gt;=30,"MEDIUM","LOW")))</f>
        <v/>
      </c>
    </row>
    <row r="2216">
      <c r="A2216" t="n">
        <v>2215</v>
      </c>
      <c r="R2216">
        <f>IF(Q2216="","",IF(Q2216&gt;=60,"HIGH",IF(Q2216&gt;=30,"MEDIUM","LOW")))</f>
        <v/>
      </c>
    </row>
    <row r="2217">
      <c r="A2217" t="n">
        <v>2216</v>
      </c>
      <c r="R2217">
        <f>IF(Q2217="","",IF(Q2217&gt;=60,"HIGH",IF(Q2217&gt;=30,"MEDIUM","LOW")))</f>
        <v/>
      </c>
    </row>
    <row r="2218">
      <c r="A2218" t="n">
        <v>2217</v>
      </c>
      <c r="R2218">
        <f>IF(Q2218="","",IF(Q2218&gt;=60,"HIGH",IF(Q2218&gt;=30,"MEDIUM","LOW")))</f>
        <v/>
      </c>
    </row>
    <row r="2219">
      <c r="A2219" t="n">
        <v>2218</v>
      </c>
      <c r="R2219">
        <f>IF(Q2219="","",IF(Q2219&gt;=60,"HIGH",IF(Q2219&gt;=30,"MEDIUM","LOW")))</f>
        <v/>
      </c>
    </row>
    <row r="2220">
      <c r="A2220" t="n">
        <v>2219</v>
      </c>
      <c r="R2220">
        <f>IF(Q2220="","",IF(Q2220&gt;=60,"HIGH",IF(Q2220&gt;=30,"MEDIUM","LOW")))</f>
        <v/>
      </c>
    </row>
    <row r="2221">
      <c r="A2221" t="n">
        <v>2220</v>
      </c>
      <c r="R2221">
        <f>IF(Q2221="","",IF(Q2221&gt;=60,"HIGH",IF(Q2221&gt;=30,"MEDIUM","LOW")))</f>
        <v/>
      </c>
    </row>
    <row r="2222">
      <c r="A2222" t="n">
        <v>2221</v>
      </c>
      <c r="R2222">
        <f>IF(Q2222="","",IF(Q2222&gt;=60,"HIGH",IF(Q2222&gt;=30,"MEDIUM","LOW")))</f>
        <v/>
      </c>
    </row>
    <row r="2223">
      <c r="A2223" t="n">
        <v>2222</v>
      </c>
      <c r="R2223">
        <f>IF(Q2223="","",IF(Q2223&gt;=60,"HIGH",IF(Q2223&gt;=30,"MEDIUM","LOW")))</f>
        <v/>
      </c>
    </row>
    <row r="2224">
      <c r="A2224" t="n">
        <v>2223</v>
      </c>
      <c r="R2224">
        <f>IF(Q2224="","",IF(Q2224&gt;=60,"HIGH",IF(Q2224&gt;=30,"MEDIUM","LOW")))</f>
        <v/>
      </c>
    </row>
    <row r="2225">
      <c r="A2225" t="n">
        <v>2224</v>
      </c>
      <c r="R2225">
        <f>IF(Q2225="","",IF(Q2225&gt;=60,"HIGH",IF(Q2225&gt;=30,"MEDIUM","LOW")))</f>
        <v/>
      </c>
    </row>
    <row r="2226">
      <c r="A2226" t="n">
        <v>2225</v>
      </c>
      <c r="R2226">
        <f>IF(Q2226="","",IF(Q2226&gt;=60,"HIGH",IF(Q2226&gt;=30,"MEDIUM","LOW")))</f>
        <v/>
      </c>
    </row>
    <row r="2227">
      <c r="A2227" t="n">
        <v>2226</v>
      </c>
      <c r="R2227">
        <f>IF(Q2227="","",IF(Q2227&gt;=60,"HIGH",IF(Q2227&gt;=30,"MEDIUM","LOW")))</f>
        <v/>
      </c>
    </row>
    <row r="2228">
      <c r="A2228" t="n">
        <v>2227</v>
      </c>
      <c r="R2228">
        <f>IF(Q2228="","",IF(Q2228&gt;=60,"HIGH",IF(Q2228&gt;=30,"MEDIUM","LOW")))</f>
        <v/>
      </c>
    </row>
    <row r="2229">
      <c r="A2229" t="n">
        <v>2228</v>
      </c>
      <c r="R2229">
        <f>IF(Q2229="","",IF(Q2229&gt;=60,"HIGH",IF(Q2229&gt;=30,"MEDIUM","LOW")))</f>
        <v/>
      </c>
    </row>
    <row r="2230">
      <c r="A2230" t="n">
        <v>2229</v>
      </c>
      <c r="R2230">
        <f>IF(Q2230="","",IF(Q2230&gt;=60,"HIGH",IF(Q2230&gt;=30,"MEDIUM","LOW")))</f>
        <v/>
      </c>
    </row>
    <row r="2231">
      <c r="A2231" t="n">
        <v>2230</v>
      </c>
      <c r="R2231">
        <f>IF(Q2231="","",IF(Q2231&gt;=60,"HIGH",IF(Q2231&gt;=30,"MEDIUM","LOW")))</f>
        <v/>
      </c>
    </row>
    <row r="2232">
      <c r="A2232" t="n">
        <v>2231</v>
      </c>
      <c r="R2232">
        <f>IF(Q2232="","",IF(Q2232&gt;=60,"HIGH",IF(Q2232&gt;=30,"MEDIUM","LOW")))</f>
        <v/>
      </c>
    </row>
    <row r="2233">
      <c r="A2233" t="n">
        <v>2232</v>
      </c>
      <c r="R2233">
        <f>IF(Q2233="","",IF(Q2233&gt;=60,"HIGH",IF(Q2233&gt;=30,"MEDIUM","LOW")))</f>
        <v/>
      </c>
    </row>
    <row r="2234">
      <c r="A2234" t="n">
        <v>2233</v>
      </c>
      <c r="R2234">
        <f>IF(Q2234="","",IF(Q2234&gt;=60,"HIGH",IF(Q2234&gt;=30,"MEDIUM","LOW")))</f>
        <v/>
      </c>
    </row>
    <row r="2235">
      <c r="A2235" t="n">
        <v>2234</v>
      </c>
      <c r="R2235">
        <f>IF(Q2235="","",IF(Q2235&gt;=60,"HIGH",IF(Q2235&gt;=30,"MEDIUM","LOW")))</f>
        <v/>
      </c>
    </row>
    <row r="2236">
      <c r="A2236" t="n">
        <v>2235</v>
      </c>
      <c r="R2236">
        <f>IF(Q2236="","",IF(Q2236&gt;=60,"HIGH",IF(Q2236&gt;=30,"MEDIUM","LOW")))</f>
        <v/>
      </c>
    </row>
    <row r="2237">
      <c r="A2237" t="n">
        <v>2236</v>
      </c>
      <c r="R2237">
        <f>IF(Q2237="","",IF(Q2237&gt;=60,"HIGH",IF(Q2237&gt;=30,"MEDIUM","LOW")))</f>
        <v/>
      </c>
    </row>
    <row r="2238">
      <c r="A2238" t="n">
        <v>2237</v>
      </c>
      <c r="R2238">
        <f>IF(Q2238="","",IF(Q2238&gt;=60,"HIGH",IF(Q2238&gt;=30,"MEDIUM","LOW")))</f>
        <v/>
      </c>
    </row>
    <row r="2239">
      <c r="A2239" t="n">
        <v>2238</v>
      </c>
      <c r="R2239">
        <f>IF(Q2239="","",IF(Q2239&gt;=60,"HIGH",IF(Q2239&gt;=30,"MEDIUM","LOW")))</f>
        <v/>
      </c>
    </row>
    <row r="2240">
      <c r="A2240" t="n">
        <v>2239</v>
      </c>
      <c r="R2240">
        <f>IF(Q2240="","",IF(Q2240&gt;=60,"HIGH",IF(Q2240&gt;=30,"MEDIUM","LOW")))</f>
        <v/>
      </c>
    </row>
    <row r="2241">
      <c r="A2241" t="n">
        <v>2240</v>
      </c>
      <c r="R2241">
        <f>IF(Q2241="","",IF(Q2241&gt;=60,"HIGH",IF(Q2241&gt;=30,"MEDIUM","LOW")))</f>
        <v/>
      </c>
    </row>
    <row r="2242">
      <c r="A2242" t="n">
        <v>2241</v>
      </c>
      <c r="R2242">
        <f>IF(Q2242="","",IF(Q2242&gt;=60,"HIGH",IF(Q2242&gt;=30,"MEDIUM","LOW")))</f>
        <v/>
      </c>
    </row>
    <row r="2243">
      <c r="A2243" t="n">
        <v>2242</v>
      </c>
      <c r="R2243">
        <f>IF(Q2243="","",IF(Q2243&gt;=60,"HIGH",IF(Q2243&gt;=30,"MEDIUM","LOW")))</f>
        <v/>
      </c>
    </row>
    <row r="2244">
      <c r="A2244" t="n">
        <v>2243</v>
      </c>
      <c r="R2244">
        <f>IF(Q2244="","",IF(Q2244&gt;=60,"HIGH",IF(Q2244&gt;=30,"MEDIUM","LOW")))</f>
        <v/>
      </c>
    </row>
    <row r="2245">
      <c r="A2245" t="n">
        <v>2244</v>
      </c>
      <c r="R2245">
        <f>IF(Q2245="","",IF(Q2245&gt;=60,"HIGH",IF(Q2245&gt;=30,"MEDIUM","LOW")))</f>
        <v/>
      </c>
    </row>
    <row r="2246">
      <c r="A2246" t="n">
        <v>2245</v>
      </c>
      <c r="R2246">
        <f>IF(Q2246="","",IF(Q2246&gt;=60,"HIGH",IF(Q2246&gt;=30,"MEDIUM","LOW")))</f>
        <v/>
      </c>
    </row>
    <row r="2247">
      <c r="A2247" t="n">
        <v>2246</v>
      </c>
      <c r="R2247">
        <f>IF(Q2247="","",IF(Q2247&gt;=60,"HIGH",IF(Q2247&gt;=30,"MEDIUM","LOW")))</f>
        <v/>
      </c>
    </row>
    <row r="2248">
      <c r="A2248" t="n">
        <v>2247</v>
      </c>
      <c r="R2248">
        <f>IF(Q2248="","",IF(Q2248&gt;=60,"HIGH",IF(Q2248&gt;=30,"MEDIUM","LOW")))</f>
        <v/>
      </c>
    </row>
    <row r="2249">
      <c r="A2249" t="n">
        <v>2248</v>
      </c>
      <c r="R2249">
        <f>IF(Q2249="","",IF(Q2249&gt;=60,"HIGH",IF(Q2249&gt;=30,"MEDIUM","LOW")))</f>
        <v/>
      </c>
    </row>
    <row r="2250">
      <c r="A2250" t="n">
        <v>2249</v>
      </c>
      <c r="R2250">
        <f>IF(Q2250="","",IF(Q2250&gt;=60,"HIGH",IF(Q2250&gt;=30,"MEDIUM","LOW")))</f>
        <v/>
      </c>
    </row>
    <row r="2251">
      <c r="A2251" t="n">
        <v>2250</v>
      </c>
      <c r="R2251">
        <f>IF(Q2251="","",IF(Q2251&gt;=60,"HIGH",IF(Q2251&gt;=30,"MEDIUM","LOW")))</f>
        <v/>
      </c>
    </row>
    <row r="2252">
      <c r="A2252" t="n">
        <v>2251</v>
      </c>
      <c r="R2252">
        <f>IF(Q2252="","",IF(Q2252&gt;=60,"HIGH",IF(Q2252&gt;=30,"MEDIUM","LOW")))</f>
        <v/>
      </c>
    </row>
    <row r="2253">
      <c r="A2253" t="n">
        <v>2252</v>
      </c>
      <c r="R2253">
        <f>IF(Q2253="","",IF(Q2253&gt;=60,"HIGH",IF(Q2253&gt;=30,"MEDIUM","LOW")))</f>
        <v/>
      </c>
    </row>
    <row r="2254">
      <c r="A2254" t="n">
        <v>2253</v>
      </c>
      <c r="R2254">
        <f>IF(Q2254="","",IF(Q2254&gt;=60,"HIGH",IF(Q2254&gt;=30,"MEDIUM","LOW")))</f>
        <v/>
      </c>
    </row>
    <row r="2255">
      <c r="A2255" t="n">
        <v>2254</v>
      </c>
      <c r="R2255">
        <f>IF(Q2255="","",IF(Q2255&gt;=60,"HIGH",IF(Q2255&gt;=30,"MEDIUM","LOW")))</f>
        <v/>
      </c>
    </row>
    <row r="2256">
      <c r="A2256" t="n">
        <v>2255</v>
      </c>
      <c r="R2256">
        <f>IF(Q2256="","",IF(Q2256&gt;=60,"HIGH",IF(Q2256&gt;=30,"MEDIUM","LOW")))</f>
        <v/>
      </c>
    </row>
    <row r="2257">
      <c r="A2257" t="n">
        <v>2256</v>
      </c>
      <c r="R2257">
        <f>IF(Q2257="","",IF(Q2257&gt;=60,"HIGH",IF(Q2257&gt;=30,"MEDIUM","LOW")))</f>
        <v/>
      </c>
    </row>
    <row r="2258">
      <c r="A2258" t="n">
        <v>2257</v>
      </c>
      <c r="R2258">
        <f>IF(Q2258="","",IF(Q2258&gt;=60,"HIGH",IF(Q2258&gt;=30,"MEDIUM","LOW")))</f>
        <v/>
      </c>
    </row>
    <row r="2259">
      <c r="A2259" t="n">
        <v>2258</v>
      </c>
      <c r="R2259">
        <f>IF(Q2259="","",IF(Q2259&gt;=60,"HIGH",IF(Q2259&gt;=30,"MEDIUM","LOW")))</f>
        <v/>
      </c>
    </row>
    <row r="2260">
      <c r="A2260" t="n">
        <v>2259</v>
      </c>
      <c r="R2260">
        <f>IF(Q2260="","",IF(Q2260&gt;=60,"HIGH",IF(Q2260&gt;=30,"MEDIUM","LOW")))</f>
        <v/>
      </c>
    </row>
    <row r="2261">
      <c r="A2261" t="n">
        <v>2260</v>
      </c>
      <c r="R2261">
        <f>IF(Q2261="","",IF(Q2261&gt;=60,"HIGH",IF(Q2261&gt;=30,"MEDIUM","LOW")))</f>
        <v/>
      </c>
    </row>
    <row r="2262">
      <c r="A2262" t="n">
        <v>2261</v>
      </c>
      <c r="R2262">
        <f>IF(Q2262="","",IF(Q2262&gt;=60,"HIGH",IF(Q2262&gt;=30,"MEDIUM","LOW")))</f>
        <v/>
      </c>
    </row>
    <row r="2263">
      <c r="A2263" t="n">
        <v>2262</v>
      </c>
      <c r="R2263">
        <f>IF(Q2263="","",IF(Q2263&gt;=60,"HIGH",IF(Q2263&gt;=30,"MEDIUM","LOW")))</f>
        <v/>
      </c>
    </row>
    <row r="2264">
      <c r="A2264" t="n">
        <v>2263</v>
      </c>
      <c r="R2264">
        <f>IF(Q2264="","",IF(Q2264&gt;=60,"HIGH",IF(Q2264&gt;=30,"MEDIUM","LOW")))</f>
        <v/>
      </c>
    </row>
    <row r="2265">
      <c r="A2265" t="n">
        <v>2264</v>
      </c>
      <c r="R2265">
        <f>IF(Q2265="","",IF(Q2265&gt;=60,"HIGH",IF(Q2265&gt;=30,"MEDIUM","LOW")))</f>
        <v/>
      </c>
    </row>
    <row r="2266">
      <c r="A2266" t="n">
        <v>2265</v>
      </c>
      <c r="R2266">
        <f>IF(Q2266="","",IF(Q2266&gt;=60,"HIGH",IF(Q2266&gt;=30,"MEDIUM","LOW")))</f>
        <v/>
      </c>
    </row>
    <row r="2267">
      <c r="A2267" t="n">
        <v>2266</v>
      </c>
      <c r="R2267">
        <f>IF(Q2267="","",IF(Q2267&gt;=60,"HIGH",IF(Q2267&gt;=30,"MEDIUM","LOW")))</f>
        <v/>
      </c>
    </row>
    <row r="2268">
      <c r="A2268" t="n">
        <v>2267</v>
      </c>
      <c r="R2268">
        <f>IF(Q2268="","",IF(Q2268&gt;=60,"HIGH",IF(Q2268&gt;=30,"MEDIUM","LOW")))</f>
        <v/>
      </c>
    </row>
    <row r="2269">
      <c r="A2269" t="n">
        <v>2268</v>
      </c>
      <c r="R2269">
        <f>IF(Q2269="","",IF(Q2269&gt;=60,"HIGH",IF(Q2269&gt;=30,"MEDIUM","LOW")))</f>
        <v/>
      </c>
    </row>
    <row r="2270">
      <c r="A2270" t="n">
        <v>2269</v>
      </c>
      <c r="R2270">
        <f>IF(Q2270="","",IF(Q2270&gt;=60,"HIGH",IF(Q2270&gt;=30,"MEDIUM","LOW")))</f>
        <v/>
      </c>
    </row>
    <row r="2271">
      <c r="A2271" t="n">
        <v>2270</v>
      </c>
      <c r="R2271">
        <f>IF(Q2271="","",IF(Q2271&gt;=60,"HIGH",IF(Q2271&gt;=30,"MEDIUM","LOW")))</f>
        <v/>
      </c>
    </row>
    <row r="2272">
      <c r="A2272" t="n">
        <v>2271</v>
      </c>
      <c r="R2272">
        <f>IF(Q2272="","",IF(Q2272&gt;=60,"HIGH",IF(Q2272&gt;=30,"MEDIUM","LOW")))</f>
        <v/>
      </c>
    </row>
    <row r="2273">
      <c r="A2273" t="n">
        <v>2272</v>
      </c>
      <c r="R2273">
        <f>IF(Q2273="","",IF(Q2273&gt;=60,"HIGH",IF(Q2273&gt;=30,"MEDIUM","LOW")))</f>
        <v/>
      </c>
    </row>
    <row r="2274">
      <c r="A2274" t="n">
        <v>2273</v>
      </c>
      <c r="R2274">
        <f>IF(Q2274="","",IF(Q2274&gt;=60,"HIGH",IF(Q2274&gt;=30,"MEDIUM","LOW")))</f>
        <v/>
      </c>
    </row>
    <row r="2275">
      <c r="A2275" t="n">
        <v>2274</v>
      </c>
      <c r="R2275">
        <f>IF(Q2275="","",IF(Q2275&gt;=60,"HIGH",IF(Q2275&gt;=30,"MEDIUM","LOW")))</f>
        <v/>
      </c>
    </row>
    <row r="2276">
      <c r="A2276" t="n">
        <v>2275</v>
      </c>
      <c r="R2276">
        <f>IF(Q2276="","",IF(Q2276&gt;=60,"HIGH",IF(Q2276&gt;=30,"MEDIUM","LOW")))</f>
        <v/>
      </c>
    </row>
    <row r="2277">
      <c r="A2277" t="n">
        <v>2276</v>
      </c>
      <c r="R2277">
        <f>IF(Q2277="","",IF(Q2277&gt;=60,"HIGH",IF(Q2277&gt;=30,"MEDIUM","LOW")))</f>
        <v/>
      </c>
    </row>
    <row r="2278">
      <c r="A2278" t="n">
        <v>2277</v>
      </c>
      <c r="R2278">
        <f>IF(Q2278="","",IF(Q2278&gt;=60,"HIGH",IF(Q2278&gt;=30,"MEDIUM","LOW")))</f>
        <v/>
      </c>
    </row>
    <row r="2279">
      <c r="A2279" t="n">
        <v>2278</v>
      </c>
      <c r="R2279">
        <f>IF(Q2279="","",IF(Q2279&gt;=60,"HIGH",IF(Q2279&gt;=30,"MEDIUM","LOW")))</f>
        <v/>
      </c>
    </row>
    <row r="2280">
      <c r="A2280" t="n">
        <v>2279</v>
      </c>
      <c r="R2280">
        <f>IF(Q2280="","",IF(Q2280&gt;=60,"HIGH",IF(Q2280&gt;=30,"MEDIUM","LOW")))</f>
        <v/>
      </c>
    </row>
    <row r="2281">
      <c r="A2281" t="n">
        <v>2280</v>
      </c>
      <c r="R2281">
        <f>IF(Q2281="","",IF(Q2281&gt;=60,"HIGH",IF(Q2281&gt;=30,"MEDIUM","LOW")))</f>
        <v/>
      </c>
    </row>
    <row r="2282">
      <c r="A2282" t="n">
        <v>2281</v>
      </c>
      <c r="R2282">
        <f>IF(Q2282="","",IF(Q2282&gt;=60,"HIGH",IF(Q2282&gt;=30,"MEDIUM","LOW")))</f>
        <v/>
      </c>
    </row>
    <row r="2283">
      <c r="A2283" t="n">
        <v>2282</v>
      </c>
      <c r="R2283">
        <f>IF(Q2283="","",IF(Q2283&gt;=60,"HIGH",IF(Q2283&gt;=30,"MEDIUM","LOW")))</f>
        <v/>
      </c>
    </row>
    <row r="2284">
      <c r="A2284" t="n">
        <v>2283</v>
      </c>
      <c r="R2284">
        <f>IF(Q2284="","",IF(Q2284&gt;=60,"HIGH",IF(Q2284&gt;=30,"MEDIUM","LOW")))</f>
        <v/>
      </c>
    </row>
    <row r="2285">
      <c r="A2285" t="n">
        <v>2284</v>
      </c>
      <c r="R2285">
        <f>IF(Q2285="","",IF(Q2285&gt;=60,"HIGH",IF(Q2285&gt;=30,"MEDIUM","LOW")))</f>
        <v/>
      </c>
    </row>
    <row r="2286">
      <c r="A2286" t="n">
        <v>2285</v>
      </c>
      <c r="R2286">
        <f>IF(Q2286="","",IF(Q2286&gt;=60,"HIGH",IF(Q2286&gt;=30,"MEDIUM","LOW")))</f>
        <v/>
      </c>
    </row>
    <row r="2287">
      <c r="A2287" t="n">
        <v>2286</v>
      </c>
      <c r="R2287">
        <f>IF(Q2287="","",IF(Q2287&gt;=60,"HIGH",IF(Q2287&gt;=30,"MEDIUM","LOW")))</f>
        <v/>
      </c>
    </row>
    <row r="2288">
      <c r="A2288" t="n">
        <v>2287</v>
      </c>
      <c r="R2288">
        <f>IF(Q2288="","",IF(Q2288&gt;=60,"HIGH",IF(Q2288&gt;=30,"MEDIUM","LOW")))</f>
        <v/>
      </c>
    </row>
    <row r="2289">
      <c r="A2289" t="n">
        <v>2288</v>
      </c>
      <c r="R2289">
        <f>IF(Q2289="","",IF(Q2289&gt;=60,"HIGH",IF(Q2289&gt;=30,"MEDIUM","LOW")))</f>
        <v/>
      </c>
    </row>
    <row r="2290">
      <c r="A2290" t="n">
        <v>2289</v>
      </c>
      <c r="R2290">
        <f>IF(Q2290="","",IF(Q2290&gt;=60,"HIGH",IF(Q2290&gt;=30,"MEDIUM","LOW")))</f>
        <v/>
      </c>
    </row>
    <row r="2291">
      <c r="A2291" t="n">
        <v>2290</v>
      </c>
      <c r="R2291">
        <f>IF(Q2291="","",IF(Q2291&gt;=60,"HIGH",IF(Q2291&gt;=30,"MEDIUM","LOW")))</f>
        <v/>
      </c>
    </row>
    <row r="2292">
      <c r="A2292" t="n">
        <v>2291</v>
      </c>
      <c r="R2292">
        <f>IF(Q2292="","",IF(Q2292&gt;=60,"HIGH",IF(Q2292&gt;=30,"MEDIUM","LOW")))</f>
        <v/>
      </c>
    </row>
    <row r="2293">
      <c r="A2293" t="n">
        <v>2292</v>
      </c>
      <c r="R2293">
        <f>IF(Q2293="","",IF(Q2293&gt;=60,"HIGH",IF(Q2293&gt;=30,"MEDIUM","LOW")))</f>
        <v/>
      </c>
    </row>
    <row r="2294">
      <c r="A2294" t="n">
        <v>2293</v>
      </c>
      <c r="R2294">
        <f>IF(Q2294="","",IF(Q2294&gt;=60,"HIGH",IF(Q2294&gt;=30,"MEDIUM","LOW")))</f>
        <v/>
      </c>
    </row>
    <row r="2295">
      <c r="A2295" t="n">
        <v>2294</v>
      </c>
      <c r="R2295">
        <f>IF(Q2295="","",IF(Q2295&gt;=60,"HIGH",IF(Q2295&gt;=30,"MEDIUM","LOW")))</f>
        <v/>
      </c>
    </row>
    <row r="2296">
      <c r="A2296" t="n">
        <v>2295</v>
      </c>
      <c r="R2296">
        <f>IF(Q2296="","",IF(Q2296&gt;=60,"HIGH",IF(Q2296&gt;=30,"MEDIUM","LOW")))</f>
        <v/>
      </c>
    </row>
    <row r="2297">
      <c r="A2297" t="n">
        <v>2296</v>
      </c>
      <c r="R2297">
        <f>IF(Q2297="","",IF(Q2297&gt;=60,"HIGH",IF(Q2297&gt;=30,"MEDIUM","LOW")))</f>
        <v/>
      </c>
    </row>
    <row r="2298">
      <c r="A2298" t="n">
        <v>2297</v>
      </c>
      <c r="R2298">
        <f>IF(Q2298="","",IF(Q2298&gt;=60,"HIGH",IF(Q2298&gt;=30,"MEDIUM","LOW")))</f>
        <v/>
      </c>
    </row>
    <row r="2299">
      <c r="A2299" t="n">
        <v>2298</v>
      </c>
      <c r="R2299">
        <f>IF(Q2299="","",IF(Q2299&gt;=60,"HIGH",IF(Q2299&gt;=30,"MEDIUM","LOW")))</f>
        <v/>
      </c>
    </row>
    <row r="2300">
      <c r="A2300" t="n">
        <v>2299</v>
      </c>
      <c r="R2300">
        <f>IF(Q2300="","",IF(Q2300&gt;=60,"HIGH",IF(Q2300&gt;=30,"MEDIUM","LOW")))</f>
        <v/>
      </c>
    </row>
    <row r="2301">
      <c r="A2301" t="n">
        <v>2300</v>
      </c>
      <c r="R2301">
        <f>IF(Q2301="","",IF(Q2301&gt;=60,"HIGH",IF(Q2301&gt;=30,"MEDIUM","LOW")))</f>
        <v/>
      </c>
    </row>
    <row r="2302">
      <c r="A2302" t="n">
        <v>2301</v>
      </c>
      <c r="R2302">
        <f>IF(Q2302="","",IF(Q2302&gt;=60,"HIGH",IF(Q2302&gt;=30,"MEDIUM","LOW")))</f>
        <v/>
      </c>
    </row>
    <row r="2303">
      <c r="A2303" t="n">
        <v>2302</v>
      </c>
      <c r="R2303">
        <f>IF(Q2303="","",IF(Q2303&gt;=60,"HIGH",IF(Q2303&gt;=30,"MEDIUM","LOW")))</f>
        <v/>
      </c>
    </row>
    <row r="2304">
      <c r="A2304" t="n">
        <v>2303</v>
      </c>
      <c r="R2304">
        <f>IF(Q2304="","",IF(Q2304&gt;=60,"HIGH",IF(Q2304&gt;=30,"MEDIUM","LOW")))</f>
        <v/>
      </c>
    </row>
    <row r="2305">
      <c r="A2305" t="n">
        <v>2304</v>
      </c>
      <c r="R2305">
        <f>IF(Q2305="","",IF(Q2305&gt;=60,"HIGH",IF(Q2305&gt;=30,"MEDIUM","LOW")))</f>
        <v/>
      </c>
    </row>
    <row r="2306">
      <c r="A2306" t="n">
        <v>2305</v>
      </c>
      <c r="R2306">
        <f>IF(Q2306="","",IF(Q2306&gt;=60,"HIGH",IF(Q2306&gt;=30,"MEDIUM","LOW")))</f>
        <v/>
      </c>
    </row>
    <row r="2307">
      <c r="A2307" t="n">
        <v>2306</v>
      </c>
      <c r="R2307">
        <f>IF(Q2307="","",IF(Q2307&gt;=60,"HIGH",IF(Q2307&gt;=30,"MEDIUM","LOW")))</f>
        <v/>
      </c>
    </row>
    <row r="2308">
      <c r="A2308" t="n">
        <v>2307</v>
      </c>
      <c r="R2308">
        <f>IF(Q2308="","",IF(Q2308&gt;=60,"HIGH",IF(Q2308&gt;=30,"MEDIUM","LOW")))</f>
        <v/>
      </c>
    </row>
    <row r="2309">
      <c r="A2309" t="n">
        <v>2308</v>
      </c>
      <c r="R2309">
        <f>IF(Q2309="","",IF(Q2309&gt;=60,"HIGH",IF(Q2309&gt;=30,"MEDIUM","LOW")))</f>
        <v/>
      </c>
    </row>
    <row r="2310">
      <c r="A2310" t="n">
        <v>2309</v>
      </c>
      <c r="R2310">
        <f>IF(Q2310="","",IF(Q2310&gt;=60,"HIGH",IF(Q2310&gt;=30,"MEDIUM","LOW")))</f>
        <v/>
      </c>
    </row>
    <row r="2311">
      <c r="A2311" t="n">
        <v>2310</v>
      </c>
      <c r="R2311">
        <f>IF(Q2311="","",IF(Q2311&gt;=60,"HIGH",IF(Q2311&gt;=30,"MEDIUM","LOW")))</f>
        <v/>
      </c>
    </row>
    <row r="2312">
      <c r="A2312" t="n">
        <v>2311</v>
      </c>
      <c r="R2312">
        <f>IF(Q2312="","",IF(Q2312&gt;=60,"HIGH",IF(Q2312&gt;=30,"MEDIUM","LOW")))</f>
        <v/>
      </c>
    </row>
    <row r="2313">
      <c r="A2313" t="n">
        <v>2312</v>
      </c>
      <c r="R2313">
        <f>IF(Q2313="","",IF(Q2313&gt;=60,"HIGH",IF(Q2313&gt;=30,"MEDIUM","LOW")))</f>
        <v/>
      </c>
    </row>
    <row r="2314">
      <c r="A2314" t="n">
        <v>2313</v>
      </c>
      <c r="R2314">
        <f>IF(Q2314="","",IF(Q2314&gt;=60,"HIGH",IF(Q2314&gt;=30,"MEDIUM","LOW")))</f>
        <v/>
      </c>
    </row>
    <row r="2315">
      <c r="A2315" t="n">
        <v>2314</v>
      </c>
      <c r="R2315">
        <f>IF(Q2315="","",IF(Q2315&gt;=60,"HIGH",IF(Q2315&gt;=30,"MEDIUM","LOW")))</f>
        <v/>
      </c>
    </row>
    <row r="2316">
      <c r="A2316" t="n">
        <v>2315</v>
      </c>
      <c r="R2316">
        <f>IF(Q2316="","",IF(Q2316&gt;=60,"HIGH",IF(Q2316&gt;=30,"MEDIUM","LOW")))</f>
        <v/>
      </c>
    </row>
    <row r="2317">
      <c r="A2317" t="n">
        <v>2316</v>
      </c>
      <c r="R2317">
        <f>IF(Q2317="","",IF(Q2317&gt;=60,"HIGH",IF(Q2317&gt;=30,"MEDIUM","LOW")))</f>
        <v/>
      </c>
    </row>
    <row r="2318">
      <c r="A2318" t="n">
        <v>2317</v>
      </c>
      <c r="R2318">
        <f>IF(Q2318="","",IF(Q2318&gt;=60,"HIGH",IF(Q2318&gt;=30,"MEDIUM","LOW")))</f>
        <v/>
      </c>
    </row>
    <row r="2319">
      <c r="A2319" t="n">
        <v>2318</v>
      </c>
      <c r="R2319">
        <f>IF(Q2319="","",IF(Q2319&gt;=60,"HIGH",IF(Q2319&gt;=30,"MEDIUM","LOW")))</f>
        <v/>
      </c>
    </row>
    <row r="2320">
      <c r="A2320" t="n">
        <v>2319</v>
      </c>
      <c r="R2320">
        <f>IF(Q2320="","",IF(Q2320&gt;=60,"HIGH",IF(Q2320&gt;=30,"MEDIUM","LOW")))</f>
        <v/>
      </c>
    </row>
    <row r="2321">
      <c r="A2321" t="n">
        <v>2320</v>
      </c>
      <c r="R2321">
        <f>IF(Q2321="","",IF(Q2321&gt;=60,"HIGH",IF(Q2321&gt;=30,"MEDIUM","LOW")))</f>
        <v/>
      </c>
    </row>
    <row r="2322">
      <c r="A2322" t="n">
        <v>2321</v>
      </c>
      <c r="R2322">
        <f>IF(Q2322="","",IF(Q2322&gt;=60,"HIGH",IF(Q2322&gt;=30,"MEDIUM","LOW")))</f>
        <v/>
      </c>
    </row>
    <row r="2323">
      <c r="A2323" t="n">
        <v>2322</v>
      </c>
      <c r="R2323">
        <f>IF(Q2323="","",IF(Q2323&gt;=60,"HIGH",IF(Q2323&gt;=30,"MEDIUM","LOW")))</f>
        <v/>
      </c>
    </row>
    <row r="2324">
      <c r="A2324" t="n">
        <v>2323</v>
      </c>
      <c r="R2324">
        <f>IF(Q2324="","",IF(Q2324&gt;=60,"HIGH",IF(Q2324&gt;=30,"MEDIUM","LOW")))</f>
        <v/>
      </c>
    </row>
    <row r="2325">
      <c r="A2325" t="n">
        <v>2324</v>
      </c>
      <c r="R2325">
        <f>IF(Q2325="","",IF(Q2325&gt;=60,"HIGH",IF(Q2325&gt;=30,"MEDIUM","LOW")))</f>
        <v/>
      </c>
    </row>
    <row r="2326">
      <c r="A2326" t="n">
        <v>2325</v>
      </c>
      <c r="R2326">
        <f>IF(Q2326="","",IF(Q2326&gt;=60,"HIGH",IF(Q2326&gt;=30,"MEDIUM","LOW")))</f>
        <v/>
      </c>
    </row>
    <row r="2327">
      <c r="A2327" t="n">
        <v>2326</v>
      </c>
      <c r="R2327">
        <f>IF(Q2327="","",IF(Q2327&gt;=60,"HIGH",IF(Q2327&gt;=30,"MEDIUM","LOW")))</f>
        <v/>
      </c>
    </row>
    <row r="2328">
      <c r="A2328" t="n">
        <v>2327</v>
      </c>
      <c r="R2328">
        <f>IF(Q2328="","",IF(Q2328&gt;=60,"HIGH",IF(Q2328&gt;=30,"MEDIUM","LOW")))</f>
        <v/>
      </c>
    </row>
    <row r="2329">
      <c r="A2329" t="n">
        <v>2328</v>
      </c>
      <c r="R2329">
        <f>IF(Q2329="","",IF(Q2329&gt;=60,"HIGH",IF(Q2329&gt;=30,"MEDIUM","LOW")))</f>
        <v/>
      </c>
    </row>
    <row r="2330">
      <c r="A2330" t="n">
        <v>2329</v>
      </c>
      <c r="R2330">
        <f>IF(Q2330="","",IF(Q2330&gt;=60,"HIGH",IF(Q2330&gt;=30,"MEDIUM","LOW")))</f>
        <v/>
      </c>
    </row>
    <row r="2331">
      <c r="A2331" t="n">
        <v>2330</v>
      </c>
      <c r="R2331">
        <f>IF(Q2331="","",IF(Q2331&gt;=60,"HIGH",IF(Q2331&gt;=30,"MEDIUM","LOW")))</f>
        <v/>
      </c>
    </row>
    <row r="2332">
      <c r="A2332" t="n">
        <v>2331</v>
      </c>
      <c r="R2332">
        <f>IF(Q2332="","",IF(Q2332&gt;=60,"HIGH",IF(Q2332&gt;=30,"MEDIUM","LOW")))</f>
        <v/>
      </c>
    </row>
    <row r="2333">
      <c r="A2333" t="n">
        <v>2332</v>
      </c>
      <c r="R2333">
        <f>IF(Q2333="","",IF(Q2333&gt;=60,"HIGH",IF(Q2333&gt;=30,"MEDIUM","LOW")))</f>
        <v/>
      </c>
    </row>
    <row r="2334">
      <c r="A2334" t="n">
        <v>2333</v>
      </c>
      <c r="R2334">
        <f>IF(Q2334="","",IF(Q2334&gt;=60,"HIGH",IF(Q2334&gt;=30,"MEDIUM","LOW")))</f>
        <v/>
      </c>
    </row>
    <row r="2335">
      <c r="A2335" t="n">
        <v>2334</v>
      </c>
      <c r="R2335">
        <f>IF(Q2335="","",IF(Q2335&gt;=60,"HIGH",IF(Q2335&gt;=30,"MEDIUM","LOW")))</f>
        <v/>
      </c>
    </row>
    <row r="2336">
      <c r="A2336" t="n">
        <v>2335</v>
      </c>
      <c r="R2336">
        <f>IF(Q2336="","",IF(Q2336&gt;=60,"HIGH",IF(Q2336&gt;=30,"MEDIUM","LOW")))</f>
        <v/>
      </c>
    </row>
    <row r="2337">
      <c r="A2337" t="n">
        <v>2336</v>
      </c>
      <c r="R2337">
        <f>IF(Q2337="","",IF(Q2337&gt;=60,"HIGH",IF(Q2337&gt;=30,"MEDIUM","LOW")))</f>
        <v/>
      </c>
    </row>
    <row r="2338">
      <c r="A2338" t="n">
        <v>2337</v>
      </c>
      <c r="R2338">
        <f>IF(Q2338="","",IF(Q2338&gt;=60,"HIGH",IF(Q2338&gt;=30,"MEDIUM","LOW")))</f>
        <v/>
      </c>
    </row>
    <row r="2339">
      <c r="A2339" t="n">
        <v>2338</v>
      </c>
      <c r="R2339">
        <f>IF(Q2339="","",IF(Q2339&gt;=60,"HIGH",IF(Q2339&gt;=30,"MEDIUM","LOW")))</f>
        <v/>
      </c>
    </row>
    <row r="2340">
      <c r="A2340" t="n">
        <v>2339</v>
      </c>
      <c r="R2340">
        <f>IF(Q2340="","",IF(Q2340&gt;=60,"HIGH",IF(Q2340&gt;=30,"MEDIUM","LOW")))</f>
        <v/>
      </c>
    </row>
    <row r="2341">
      <c r="A2341" t="n">
        <v>2340</v>
      </c>
      <c r="R2341">
        <f>IF(Q2341="","",IF(Q2341&gt;=60,"HIGH",IF(Q2341&gt;=30,"MEDIUM","LOW")))</f>
        <v/>
      </c>
    </row>
    <row r="2342">
      <c r="A2342" t="n">
        <v>2341</v>
      </c>
      <c r="R2342">
        <f>IF(Q2342="","",IF(Q2342&gt;=60,"HIGH",IF(Q2342&gt;=30,"MEDIUM","LOW")))</f>
        <v/>
      </c>
    </row>
    <row r="2343">
      <c r="A2343" t="n">
        <v>2342</v>
      </c>
      <c r="R2343">
        <f>IF(Q2343="","",IF(Q2343&gt;=60,"HIGH",IF(Q2343&gt;=30,"MEDIUM","LOW")))</f>
        <v/>
      </c>
    </row>
    <row r="2344">
      <c r="A2344" t="n">
        <v>2343</v>
      </c>
      <c r="R2344">
        <f>IF(Q2344="","",IF(Q2344&gt;=60,"HIGH",IF(Q2344&gt;=30,"MEDIUM","LOW")))</f>
        <v/>
      </c>
    </row>
    <row r="2345">
      <c r="A2345" t="n">
        <v>2344</v>
      </c>
      <c r="R2345">
        <f>IF(Q2345="","",IF(Q2345&gt;=60,"HIGH",IF(Q2345&gt;=30,"MEDIUM","LOW")))</f>
        <v/>
      </c>
    </row>
    <row r="2346">
      <c r="A2346" t="n">
        <v>2345</v>
      </c>
      <c r="R2346">
        <f>IF(Q2346="","",IF(Q2346&gt;=60,"HIGH",IF(Q2346&gt;=30,"MEDIUM","LOW")))</f>
        <v/>
      </c>
    </row>
    <row r="2347">
      <c r="A2347" t="n">
        <v>2346</v>
      </c>
      <c r="R2347">
        <f>IF(Q2347="","",IF(Q2347&gt;=60,"HIGH",IF(Q2347&gt;=30,"MEDIUM","LOW")))</f>
        <v/>
      </c>
    </row>
    <row r="2348">
      <c r="A2348" t="n">
        <v>2347</v>
      </c>
      <c r="R2348">
        <f>IF(Q2348="","",IF(Q2348&gt;=60,"HIGH",IF(Q2348&gt;=30,"MEDIUM","LOW")))</f>
        <v/>
      </c>
    </row>
    <row r="2349">
      <c r="A2349" t="n">
        <v>2348</v>
      </c>
      <c r="R2349">
        <f>IF(Q2349="","",IF(Q2349&gt;=60,"HIGH",IF(Q2349&gt;=30,"MEDIUM","LOW")))</f>
        <v/>
      </c>
    </row>
    <row r="2350">
      <c r="A2350" t="n">
        <v>2349</v>
      </c>
      <c r="R2350">
        <f>IF(Q2350="","",IF(Q2350&gt;=60,"HIGH",IF(Q2350&gt;=30,"MEDIUM","LOW")))</f>
        <v/>
      </c>
    </row>
    <row r="2351">
      <c r="A2351" t="n">
        <v>2350</v>
      </c>
      <c r="R2351">
        <f>IF(Q2351="","",IF(Q2351&gt;=60,"HIGH",IF(Q2351&gt;=30,"MEDIUM","LOW")))</f>
        <v/>
      </c>
    </row>
    <row r="2352">
      <c r="A2352" t="n">
        <v>2351</v>
      </c>
      <c r="R2352">
        <f>IF(Q2352="","",IF(Q2352&gt;=60,"HIGH",IF(Q2352&gt;=30,"MEDIUM","LOW")))</f>
        <v/>
      </c>
    </row>
    <row r="2353">
      <c r="A2353" t="n">
        <v>2352</v>
      </c>
      <c r="R2353">
        <f>IF(Q2353="","",IF(Q2353&gt;=60,"HIGH",IF(Q2353&gt;=30,"MEDIUM","LOW")))</f>
        <v/>
      </c>
    </row>
    <row r="2354">
      <c r="A2354" t="n">
        <v>2353</v>
      </c>
      <c r="R2354">
        <f>IF(Q2354="","",IF(Q2354&gt;=60,"HIGH",IF(Q2354&gt;=30,"MEDIUM","LOW")))</f>
        <v/>
      </c>
    </row>
    <row r="2355">
      <c r="A2355" t="n">
        <v>2354</v>
      </c>
      <c r="R2355">
        <f>IF(Q2355="","",IF(Q2355&gt;=60,"HIGH",IF(Q2355&gt;=30,"MEDIUM","LOW")))</f>
        <v/>
      </c>
    </row>
    <row r="2356">
      <c r="A2356" t="n">
        <v>2355</v>
      </c>
      <c r="R2356">
        <f>IF(Q2356="","",IF(Q2356&gt;=60,"HIGH",IF(Q2356&gt;=30,"MEDIUM","LOW")))</f>
        <v/>
      </c>
    </row>
    <row r="2357">
      <c r="A2357" t="n">
        <v>2356</v>
      </c>
      <c r="R2357">
        <f>IF(Q2357="","",IF(Q2357&gt;=60,"HIGH",IF(Q2357&gt;=30,"MEDIUM","LOW")))</f>
        <v/>
      </c>
    </row>
    <row r="2358">
      <c r="A2358" t="n">
        <v>2357</v>
      </c>
      <c r="R2358">
        <f>IF(Q2358="","",IF(Q2358&gt;=60,"HIGH",IF(Q2358&gt;=30,"MEDIUM","LOW")))</f>
        <v/>
      </c>
    </row>
    <row r="2359">
      <c r="A2359" t="n">
        <v>2358</v>
      </c>
      <c r="R2359">
        <f>IF(Q2359="","",IF(Q2359&gt;=60,"HIGH",IF(Q2359&gt;=30,"MEDIUM","LOW")))</f>
        <v/>
      </c>
    </row>
    <row r="2360">
      <c r="A2360" t="n">
        <v>2359</v>
      </c>
      <c r="R2360">
        <f>IF(Q2360="","",IF(Q2360&gt;=60,"HIGH",IF(Q2360&gt;=30,"MEDIUM","LOW")))</f>
        <v/>
      </c>
    </row>
    <row r="2361">
      <c r="A2361" t="n">
        <v>2360</v>
      </c>
      <c r="R2361">
        <f>IF(Q2361="","",IF(Q2361&gt;=60,"HIGH",IF(Q2361&gt;=30,"MEDIUM","LOW")))</f>
        <v/>
      </c>
    </row>
    <row r="2362">
      <c r="A2362" t="n">
        <v>2361</v>
      </c>
      <c r="R2362">
        <f>IF(Q2362="","",IF(Q2362&gt;=60,"HIGH",IF(Q2362&gt;=30,"MEDIUM","LOW")))</f>
        <v/>
      </c>
    </row>
    <row r="2363">
      <c r="A2363" t="n">
        <v>2362</v>
      </c>
      <c r="R2363">
        <f>IF(Q2363="","",IF(Q2363&gt;=60,"HIGH",IF(Q2363&gt;=30,"MEDIUM","LOW")))</f>
        <v/>
      </c>
    </row>
    <row r="2364">
      <c r="A2364" t="n">
        <v>2363</v>
      </c>
      <c r="R2364">
        <f>IF(Q2364="","",IF(Q2364&gt;=60,"HIGH",IF(Q2364&gt;=30,"MEDIUM","LOW")))</f>
        <v/>
      </c>
    </row>
    <row r="2365">
      <c r="A2365" t="n">
        <v>2364</v>
      </c>
      <c r="R2365">
        <f>IF(Q2365="","",IF(Q2365&gt;=60,"HIGH",IF(Q2365&gt;=30,"MEDIUM","LOW")))</f>
        <v/>
      </c>
    </row>
    <row r="2366">
      <c r="A2366" t="n">
        <v>2365</v>
      </c>
      <c r="R2366">
        <f>IF(Q2366="","",IF(Q2366&gt;=60,"HIGH",IF(Q2366&gt;=30,"MEDIUM","LOW")))</f>
        <v/>
      </c>
    </row>
    <row r="2367">
      <c r="A2367" t="n">
        <v>2366</v>
      </c>
      <c r="R2367">
        <f>IF(Q2367="","",IF(Q2367&gt;=60,"HIGH",IF(Q2367&gt;=30,"MEDIUM","LOW")))</f>
        <v/>
      </c>
    </row>
    <row r="2368">
      <c r="A2368" t="n">
        <v>2367</v>
      </c>
      <c r="R2368">
        <f>IF(Q2368="","",IF(Q2368&gt;=60,"HIGH",IF(Q2368&gt;=30,"MEDIUM","LOW")))</f>
        <v/>
      </c>
    </row>
    <row r="2369">
      <c r="A2369" t="n">
        <v>2368</v>
      </c>
      <c r="R2369">
        <f>IF(Q2369="","",IF(Q2369&gt;=60,"HIGH",IF(Q2369&gt;=30,"MEDIUM","LOW")))</f>
        <v/>
      </c>
    </row>
    <row r="2370">
      <c r="A2370" t="n">
        <v>2369</v>
      </c>
      <c r="R2370">
        <f>IF(Q2370="","",IF(Q2370&gt;=60,"HIGH",IF(Q2370&gt;=30,"MEDIUM","LOW")))</f>
        <v/>
      </c>
    </row>
    <row r="2371">
      <c r="A2371" t="n">
        <v>2370</v>
      </c>
      <c r="R2371">
        <f>IF(Q2371="","",IF(Q2371&gt;=60,"HIGH",IF(Q2371&gt;=30,"MEDIUM","LOW")))</f>
        <v/>
      </c>
    </row>
    <row r="2372">
      <c r="A2372" t="n">
        <v>2371</v>
      </c>
      <c r="R2372">
        <f>IF(Q2372="","",IF(Q2372&gt;=60,"HIGH",IF(Q2372&gt;=30,"MEDIUM","LOW")))</f>
        <v/>
      </c>
    </row>
    <row r="2373">
      <c r="A2373" t="n">
        <v>2372</v>
      </c>
      <c r="R2373">
        <f>IF(Q2373="","",IF(Q2373&gt;=60,"HIGH",IF(Q2373&gt;=30,"MEDIUM","LOW")))</f>
        <v/>
      </c>
    </row>
    <row r="2374">
      <c r="A2374" t="n">
        <v>2373</v>
      </c>
      <c r="R2374">
        <f>IF(Q2374="","",IF(Q2374&gt;=60,"HIGH",IF(Q2374&gt;=30,"MEDIUM","LOW")))</f>
        <v/>
      </c>
    </row>
    <row r="2375">
      <c r="A2375" t="n">
        <v>2374</v>
      </c>
      <c r="R2375">
        <f>IF(Q2375="","",IF(Q2375&gt;=60,"HIGH",IF(Q2375&gt;=30,"MEDIUM","LOW")))</f>
        <v/>
      </c>
    </row>
    <row r="2376">
      <c r="A2376" t="n">
        <v>2375</v>
      </c>
      <c r="R2376">
        <f>IF(Q2376="","",IF(Q2376&gt;=60,"HIGH",IF(Q2376&gt;=30,"MEDIUM","LOW")))</f>
        <v/>
      </c>
    </row>
    <row r="2377">
      <c r="A2377" t="n">
        <v>2376</v>
      </c>
      <c r="R2377">
        <f>IF(Q2377="","",IF(Q2377&gt;=60,"HIGH",IF(Q2377&gt;=30,"MEDIUM","LOW")))</f>
        <v/>
      </c>
    </row>
    <row r="2378">
      <c r="A2378" t="n">
        <v>2377</v>
      </c>
      <c r="R2378">
        <f>IF(Q2378="","",IF(Q2378&gt;=60,"HIGH",IF(Q2378&gt;=30,"MEDIUM","LOW")))</f>
        <v/>
      </c>
    </row>
    <row r="2379">
      <c r="A2379" t="n">
        <v>2378</v>
      </c>
      <c r="R2379">
        <f>IF(Q2379="","",IF(Q2379&gt;=60,"HIGH",IF(Q2379&gt;=30,"MEDIUM","LOW")))</f>
        <v/>
      </c>
    </row>
    <row r="2380">
      <c r="A2380" t="n">
        <v>2379</v>
      </c>
      <c r="R2380">
        <f>IF(Q2380="","",IF(Q2380&gt;=60,"HIGH",IF(Q2380&gt;=30,"MEDIUM","LOW")))</f>
        <v/>
      </c>
    </row>
    <row r="2381">
      <c r="A2381" t="n">
        <v>2380</v>
      </c>
      <c r="R2381">
        <f>IF(Q2381="","",IF(Q2381&gt;=60,"HIGH",IF(Q2381&gt;=30,"MEDIUM","LOW")))</f>
        <v/>
      </c>
    </row>
    <row r="2382">
      <c r="A2382" t="n">
        <v>2381</v>
      </c>
      <c r="R2382">
        <f>IF(Q2382="","",IF(Q2382&gt;=60,"HIGH",IF(Q2382&gt;=30,"MEDIUM","LOW")))</f>
        <v/>
      </c>
    </row>
    <row r="2383">
      <c r="A2383" t="n">
        <v>2382</v>
      </c>
      <c r="R2383">
        <f>IF(Q2383="","",IF(Q2383&gt;=60,"HIGH",IF(Q2383&gt;=30,"MEDIUM","LOW")))</f>
        <v/>
      </c>
    </row>
    <row r="2384">
      <c r="A2384" t="n">
        <v>2383</v>
      </c>
      <c r="R2384">
        <f>IF(Q2384="","",IF(Q2384&gt;=60,"HIGH",IF(Q2384&gt;=30,"MEDIUM","LOW")))</f>
        <v/>
      </c>
    </row>
    <row r="2385">
      <c r="A2385" t="n">
        <v>2384</v>
      </c>
      <c r="R2385">
        <f>IF(Q2385="","",IF(Q2385&gt;=60,"HIGH",IF(Q2385&gt;=30,"MEDIUM","LOW")))</f>
        <v/>
      </c>
    </row>
    <row r="2386">
      <c r="A2386" t="n">
        <v>2385</v>
      </c>
      <c r="R2386">
        <f>IF(Q2386="","",IF(Q2386&gt;=60,"HIGH",IF(Q2386&gt;=30,"MEDIUM","LOW")))</f>
        <v/>
      </c>
    </row>
    <row r="2387">
      <c r="A2387" t="n">
        <v>2386</v>
      </c>
      <c r="R2387">
        <f>IF(Q2387="","",IF(Q2387&gt;=60,"HIGH",IF(Q2387&gt;=30,"MEDIUM","LOW")))</f>
        <v/>
      </c>
    </row>
    <row r="2388">
      <c r="A2388" t="n">
        <v>2387</v>
      </c>
      <c r="R2388">
        <f>IF(Q2388="","",IF(Q2388&gt;=60,"HIGH",IF(Q2388&gt;=30,"MEDIUM","LOW")))</f>
        <v/>
      </c>
    </row>
    <row r="2389">
      <c r="A2389" t="n">
        <v>2388</v>
      </c>
      <c r="R2389">
        <f>IF(Q2389="","",IF(Q2389&gt;=60,"HIGH",IF(Q2389&gt;=30,"MEDIUM","LOW")))</f>
        <v/>
      </c>
    </row>
    <row r="2390">
      <c r="A2390" t="n">
        <v>2389</v>
      </c>
      <c r="R2390">
        <f>IF(Q2390="","",IF(Q2390&gt;=60,"HIGH",IF(Q2390&gt;=30,"MEDIUM","LOW")))</f>
        <v/>
      </c>
    </row>
    <row r="2391">
      <c r="A2391" t="n">
        <v>2390</v>
      </c>
      <c r="R2391">
        <f>IF(Q2391="","",IF(Q2391&gt;=60,"HIGH",IF(Q2391&gt;=30,"MEDIUM","LOW")))</f>
        <v/>
      </c>
    </row>
    <row r="2392">
      <c r="A2392" t="n">
        <v>2391</v>
      </c>
      <c r="R2392">
        <f>IF(Q2392="","",IF(Q2392&gt;=60,"HIGH",IF(Q2392&gt;=30,"MEDIUM","LOW")))</f>
        <v/>
      </c>
    </row>
    <row r="2393">
      <c r="A2393" t="n">
        <v>2392</v>
      </c>
      <c r="R2393">
        <f>IF(Q2393="","",IF(Q2393&gt;=60,"HIGH",IF(Q2393&gt;=30,"MEDIUM","LOW")))</f>
        <v/>
      </c>
    </row>
    <row r="2394">
      <c r="A2394" t="n">
        <v>2393</v>
      </c>
      <c r="R2394">
        <f>IF(Q2394="","",IF(Q2394&gt;=60,"HIGH",IF(Q2394&gt;=30,"MEDIUM","LOW")))</f>
        <v/>
      </c>
    </row>
    <row r="2395">
      <c r="A2395" t="n">
        <v>2394</v>
      </c>
      <c r="R2395">
        <f>IF(Q2395="","",IF(Q2395&gt;=60,"HIGH",IF(Q2395&gt;=30,"MEDIUM","LOW")))</f>
        <v/>
      </c>
    </row>
    <row r="2396">
      <c r="A2396" t="n">
        <v>2395</v>
      </c>
      <c r="R2396">
        <f>IF(Q2396="","",IF(Q2396&gt;=60,"HIGH",IF(Q2396&gt;=30,"MEDIUM","LOW")))</f>
        <v/>
      </c>
    </row>
    <row r="2397">
      <c r="A2397" t="n">
        <v>2396</v>
      </c>
      <c r="R2397">
        <f>IF(Q2397="","",IF(Q2397&gt;=60,"HIGH",IF(Q2397&gt;=30,"MEDIUM","LOW")))</f>
        <v/>
      </c>
    </row>
    <row r="2398">
      <c r="A2398" t="n">
        <v>2397</v>
      </c>
      <c r="R2398">
        <f>IF(Q2398="","",IF(Q2398&gt;=60,"HIGH",IF(Q2398&gt;=30,"MEDIUM","LOW")))</f>
        <v/>
      </c>
    </row>
    <row r="2399">
      <c r="A2399" t="n">
        <v>2398</v>
      </c>
      <c r="R2399">
        <f>IF(Q2399="","",IF(Q2399&gt;=60,"HIGH",IF(Q2399&gt;=30,"MEDIUM","LOW")))</f>
        <v/>
      </c>
    </row>
    <row r="2400">
      <c r="A2400" t="n">
        <v>2399</v>
      </c>
      <c r="R2400">
        <f>IF(Q2400="","",IF(Q2400&gt;=60,"HIGH",IF(Q2400&gt;=30,"MEDIUM","LOW")))</f>
        <v/>
      </c>
    </row>
    <row r="2401">
      <c r="A2401" t="n">
        <v>2400</v>
      </c>
      <c r="R2401">
        <f>IF(Q2401="","",IF(Q2401&gt;=60,"HIGH",IF(Q2401&gt;=30,"MEDIUM","LOW")))</f>
        <v/>
      </c>
    </row>
    <row r="2402">
      <c r="A2402" t="n">
        <v>2401</v>
      </c>
      <c r="R2402">
        <f>IF(Q2402="","",IF(Q2402&gt;=60,"HIGH",IF(Q2402&gt;=30,"MEDIUM","LOW")))</f>
        <v/>
      </c>
    </row>
    <row r="2403">
      <c r="A2403" t="n">
        <v>2402</v>
      </c>
      <c r="R2403">
        <f>IF(Q2403="","",IF(Q2403&gt;=60,"HIGH",IF(Q2403&gt;=30,"MEDIUM","LOW")))</f>
        <v/>
      </c>
    </row>
    <row r="2404">
      <c r="A2404" t="n">
        <v>2403</v>
      </c>
      <c r="R2404">
        <f>IF(Q2404="","",IF(Q2404&gt;=60,"HIGH",IF(Q2404&gt;=30,"MEDIUM","LOW")))</f>
        <v/>
      </c>
    </row>
    <row r="2405">
      <c r="A2405" t="n">
        <v>2404</v>
      </c>
      <c r="R2405">
        <f>IF(Q2405="","",IF(Q2405&gt;=60,"HIGH",IF(Q2405&gt;=30,"MEDIUM","LOW")))</f>
        <v/>
      </c>
    </row>
    <row r="2406">
      <c r="A2406" t="n">
        <v>2405</v>
      </c>
      <c r="R2406">
        <f>IF(Q2406="","",IF(Q2406&gt;=60,"HIGH",IF(Q2406&gt;=30,"MEDIUM","LOW")))</f>
        <v/>
      </c>
    </row>
    <row r="2407">
      <c r="A2407" t="n">
        <v>2406</v>
      </c>
      <c r="R2407">
        <f>IF(Q2407="","",IF(Q2407&gt;=60,"HIGH",IF(Q2407&gt;=30,"MEDIUM","LOW")))</f>
        <v/>
      </c>
    </row>
    <row r="2408">
      <c r="A2408" t="n">
        <v>2407</v>
      </c>
      <c r="R2408">
        <f>IF(Q2408="","",IF(Q2408&gt;=60,"HIGH",IF(Q2408&gt;=30,"MEDIUM","LOW")))</f>
        <v/>
      </c>
    </row>
    <row r="2409">
      <c r="A2409" t="n">
        <v>2408</v>
      </c>
      <c r="R2409">
        <f>IF(Q2409="","",IF(Q2409&gt;=60,"HIGH",IF(Q2409&gt;=30,"MEDIUM","LOW")))</f>
        <v/>
      </c>
    </row>
    <row r="2410">
      <c r="A2410" t="n">
        <v>2409</v>
      </c>
      <c r="R2410">
        <f>IF(Q2410="","",IF(Q2410&gt;=60,"HIGH",IF(Q2410&gt;=30,"MEDIUM","LOW")))</f>
        <v/>
      </c>
    </row>
    <row r="2411">
      <c r="A2411" t="n">
        <v>2410</v>
      </c>
      <c r="R2411">
        <f>IF(Q2411="","",IF(Q2411&gt;=60,"HIGH",IF(Q2411&gt;=30,"MEDIUM","LOW")))</f>
        <v/>
      </c>
    </row>
    <row r="2412">
      <c r="A2412" t="n">
        <v>2411</v>
      </c>
      <c r="R2412">
        <f>IF(Q2412="","",IF(Q2412&gt;=60,"HIGH",IF(Q2412&gt;=30,"MEDIUM","LOW")))</f>
        <v/>
      </c>
    </row>
    <row r="2413">
      <c r="A2413" t="n">
        <v>2412</v>
      </c>
      <c r="R2413">
        <f>IF(Q2413="","",IF(Q2413&gt;=60,"HIGH",IF(Q2413&gt;=30,"MEDIUM","LOW")))</f>
        <v/>
      </c>
    </row>
    <row r="2414">
      <c r="A2414" t="n">
        <v>2413</v>
      </c>
      <c r="R2414">
        <f>IF(Q2414="","",IF(Q2414&gt;=60,"HIGH",IF(Q2414&gt;=30,"MEDIUM","LOW")))</f>
        <v/>
      </c>
    </row>
    <row r="2415">
      <c r="A2415" t="n">
        <v>2414</v>
      </c>
      <c r="R2415">
        <f>IF(Q2415="","",IF(Q2415&gt;=60,"HIGH",IF(Q2415&gt;=30,"MEDIUM","LOW")))</f>
        <v/>
      </c>
    </row>
    <row r="2416">
      <c r="A2416" t="n">
        <v>2415</v>
      </c>
      <c r="R2416">
        <f>IF(Q2416="","",IF(Q2416&gt;=60,"HIGH",IF(Q2416&gt;=30,"MEDIUM","LOW")))</f>
        <v/>
      </c>
    </row>
    <row r="2417">
      <c r="A2417" t="n">
        <v>2416</v>
      </c>
      <c r="R2417">
        <f>IF(Q2417="","",IF(Q2417&gt;=60,"HIGH",IF(Q2417&gt;=30,"MEDIUM","LOW")))</f>
        <v/>
      </c>
    </row>
    <row r="2418">
      <c r="A2418" t="n">
        <v>2417</v>
      </c>
      <c r="R2418">
        <f>IF(Q2418="","",IF(Q2418&gt;=60,"HIGH",IF(Q2418&gt;=30,"MEDIUM","LOW")))</f>
        <v/>
      </c>
    </row>
    <row r="2419">
      <c r="A2419" t="n">
        <v>2418</v>
      </c>
      <c r="R2419">
        <f>IF(Q2419="","",IF(Q2419&gt;=60,"HIGH",IF(Q2419&gt;=30,"MEDIUM","LOW")))</f>
        <v/>
      </c>
    </row>
    <row r="2420">
      <c r="A2420" t="n">
        <v>2419</v>
      </c>
      <c r="R2420">
        <f>IF(Q2420="","",IF(Q2420&gt;=60,"HIGH",IF(Q2420&gt;=30,"MEDIUM","LOW")))</f>
        <v/>
      </c>
    </row>
    <row r="2421">
      <c r="A2421" t="n">
        <v>2420</v>
      </c>
      <c r="R2421">
        <f>IF(Q2421="","",IF(Q2421&gt;=60,"HIGH",IF(Q2421&gt;=30,"MEDIUM","LOW")))</f>
        <v/>
      </c>
    </row>
    <row r="2422">
      <c r="A2422" t="n">
        <v>2421</v>
      </c>
      <c r="R2422">
        <f>IF(Q2422="","",IF(Q2422&gt;=60,"HIGH",IF(Q2422&gt;=30,"MEDIUM","LOW")))</f>
        <v/>
      </c>
    </row>
    <row r="2423">
      <c r="A2423" t="n">
        <v>2422</v>
      </c>
      <c r="R2423">
        <f>IF(Q2423="","",IF(Q2423&gt;=60,"HIGH",IF(Q2423&gt;=30,"MEDIUM","LOW")))</f>
        <v/>
      </c>
    </row>
    <row r="2424">
      <c r="A2424" t="n">
        <v>2423</v>
      </c>
      <c r="R2424">
        <f>IF(Q2424="","",IF(Q2424&gt;=60,"HIGH",IF(Q2424&gt;=30,"MEDIUM","LOW")))</f>
        <v/>
      </c>
    </row>
    <row r="2425">
      <c r="A2425" t="n">
        <v>2424</v>
      </c>
      <c r="R2425">
        <f>IF(Q2425="","",IF(Q2425&gt;=60,"HIGH",IF(Q2425&gt;=30,"MEDIUM","LOW")))</f>
        <v/>
      </c>
    </row>
    <row r="2426">
      <c r="A2426" t="n">
        <v>2425</v>
      </c>
      <c r="R2426">
        <f>IF(Q2426="","",IF(Q2426&gt;=60,"HIGH",IF(Q2426&gt;=30,"MEDIUM","LOW")))</f>
        <v/>
      </c>
    </row>
    <row r="2427">
      <c r="A2427" t="n">
        <v>2426</v>
      </c>
      <c r="R2427">
        <f>IF(Q2427="","",IF(Q2427&gt;=60,"HIGH",IF(Q2427&gt;=30,"MEDIUM","LOW")))</f>
        <v/>
      </c>
    </row>
    <row r="2428">
      <c r="A2428" t="n">
        <v>2427</v>
      </c>
      <c r="R2428">
        <f>IF(Q2428="","",IF(Q2428&gt;=60,"HIGH",IF(Q2428&gt;=30,"MEDIUM","LOW")))</f>
        <v/>
      </c>
    </row>
    <row r="2429">
      <c r="A2429" t="n">
        <v>2428</v>
      </c>
      <c r="R2429">
        <f>IF(Q2429="","",IF(Q2429&gt;=60,"HIGH",IF(Q2429&gt;=30,"MEDIUM","LOW")))</f>
        <v/>
      </c>
    </row>
    <row r="2430">
      <c r="A2430" t="n">
        <v>2429</v>
      </c>
      <c r="R2430">
        <f>IF(Q2430="","",IF(Q2430&gt;=60,"HIGH",IF(Q2430&gt;=30,"MEDIUM","LOW")))</f>
        <v/>
      </c>
    </row>
    <row r="2431">
      <c r="A2431" t="n">
        <v>2430</v>
      </c>
      <c r="R2431">
        <f>IF(Q2431="","",IF(Q2431&gt;=60,"HIGH",IF(Q2431&gt;=30,"MEDIUM","LOW")))</f>
        <v/>
      </c>
    </row>
    <row r="2432">
      <c r="A2432" t="n">
        <v>2431</v>
      </c>
      <c r="R2432">
        <f>IF(Q2432="","",IF(Q2432&gt;=60,"HIGH",IF(Q2432&gt;=30,"MEDIUM","LOW")))</f>
        <v/>
      </c>
    </row>
    <row r="2433">
      <c r="A2433" t="n">
        <v>2432</v>
      </c>
      <c r="R2433">
        <f>IF(Q2433="","",IF(Q2433&gt;=60,"HIGH",IF(Q2433&gt;=30,"MEDIUM","LOW")))</f>
        <v/>
      </c>
    </row>
    <row r="2434">
      <c r="A2434" t="n">
        <v>2433</v>
      </c>
      <c r="R2434">
        <f>IF(Q2434="","",IF(Q2434&gt;=60,"HIGH",IF(Q2434&gt;=30,"MEDIUM","LOW")))</f>
        <v/>
      </c>
    </row>
    <row r="2435">
      <c r="A2435" t="n">
        <v>2434</v>
      </c>
      <c r="R2435">
        <f>IF(Q2435="","",IF(Q2435&gt;=60,"HIGH",IF(Q2435&gt;=30,"MEDIUM","LOW")))</f>
        <v/>
      </c>
    </row>
    <row r="2436">
      <c r="A2436" t="n">
        <v>2435</v>
      </c>
      <c r="R2436">
        <f>IF(Q2436="","",IF(Q2436&gt;=60,"HIGH",IF(Q2436&gt;=30,"MEDIUM","LOW")))</f>
        <v/>
      </c>
    </row>
    <row r="2437">
      <c r="A2437" t="n">
        <v>2436</v>
      </c>
      <c r="R2437">
        <f>IF(Q2437="","",IF(Q2437&gt;=60,"HIGH",IF(Q2437&gt;=30,"MEDIUM","LOW")))</f>
        <v/>
      </c>
    </row>
    <row r="2438">
      <c r="A2438" t="n">
        <v>2437</v>
      </c>
      <c r="R2438">
        <f>IF(Q2438="","",IF(Q2438&gt;=60,"HIGH",IF(Q2438&gt;=30,"MEDIUM","LOW")))</f>
        <v/>
      </c>
    </row>
    <row r="2439">
      <c r="A2439" t="n">
        <v>2438</v>
      </c>
      <c r="R2439">
        <f>IF(Q2439="","",IF(Q2439&gt;=60,"HIGH",IF(Q2439&gt;=30,"MEDIUM","LOW")))</f>
        <v/>
      </c>
    </row>
    <row r="2440">
      <c r="A2440" t="n">
        <v>2439</v>
      </c>
      <c r="R2440">
        <f>IF(Q2440="","",IF(Q2440&gt;=60,"HIGH",IF(Q2440&gt;=30,"MEDIUM","LOW")))</f>
        <v/>
      </c>
    </row>
    <row r="2441">
      <c r="A2441" t="n">
        <v>2440</v>
      </c>
      <c r="R2441">
        <f>IF(Q2441="","",IF(Q2441&gt;=60,"HIGH",IF(Q2441&gt;=30,"MEDIUM","LOW")))</f>
        <v/>
      </c>
    </row>
    <row r="2442">
      <c r="A2442" t="n">
        <v>2441</v>
      </c>
      <c r="R2442">
        <f>IF(Q2442="","",IF(Q2442&gt;=60,"HIGH",IF(Q2442&gt;=30,"MEDIUM","LOW")))</f>
        <v/>
      </c>
    </row>
    <row r="2443">
      <c r="A2443" t="n">
        <v>2442</v>
      </c>
      <c r="R2443">
        <f>IF(Q2443="","",IF(Q2443&gt;=60,"HIGH",IF(Q2443&gt;=30,"MEDIUM","LOW")))</f>
        <v/>
      </c>
    </row>
    <row r="2444">
      <c r="A2444" t="n">
        <v>2443</v>
      </c>
      <c r="R2444">
        <f>IF(Q2444="","",IF(Q2444&gt;=60,"HIGH",IF(Q2444&gt;=30,"MEDIUM","LOW")))</f>
        <v/>
      </c>
    </row>
    <row r="2445">
      <c r="A2445" t="n">
        <v>2444</v>
      </c>
      <c r="R2445">
        <f>IF(Q2445="","",IF(Q2445&gt;=60,"HIGH",IF(Q2445&gt;=30,"MEDIUM","LOW")))</f>
        <v/>
      </c>
    </row>
    <row r="2446">
      <c r="A2446" t="n">
        <v>2445</v>
      </c>
      <c r="R2446">
        <f>IF(Q2446="","",IF(Q2446&gt;=60,"HIGH",IF(Q2446&gt;=30,"MEDIUM","LOW")))</f>
        <v/>
      </c>
    </row>
    <row r="2447">
      <c r="A2447" t="n">
        <v>2446</v>
      </c>
      <c r="R2447">
        <f>IF(Q2447="","",IF(Q2447&gt;=60,"HIGH",IF(Q2447&gt;=30,"MEDIUM","LOW")))</f>
        <v/>
      </c>
    </row>
    <row r="2448">
      <c r="A2448" t="n">
        <v>2447</v>
      </c>
      <c r="R2448">
        <f>IF(Q2448="","",IF(Q2448&gt;=60,"HIGH",IF(Q2448&gt;=30,"MEDIUM","LOW")))</f>
        <v/>
      </c>
    </row>
    <row r="2449">
      <c r="A2449" t="n">
        <v>2448</v>
      </c>
      <c r="R2449">
        <f>IF(Q2449="","",IF(Q2449&gt;=60,"HIGH",IF(Q2449&gt;=30,"MEDIUM","LOW")))</f>
        <v/>
      </c>
    </row>
    <row r="2450">
      <c r="A2450" t="n">
        <v>2449</v>
      </c>
      <c r="R2450">
        <f>IF(Q2450="","",IF(Q2450&gt;=60,"HIGH",IF(Q2450&gt;=30,"MEDIUM","LOW")))</f>
        <v/>
      </c>
    </row>
    <row r="2451">
      <c r="A2451" t="n">
        <v>2450</v>
      </c>
      <c r="R2451">
        <f>IF(Q2451="","",IF(Q2451&gt;=60,"HIGH",IF(Q2451&gt;=30,"MEDIUM","LOW")))</f>
        <v/>
      </c>
    </row>
    <row r="2452">
      <c r="A2452" t="n">
        <v>2451</v>
      </c>
      <c r="R2452">
        <f>IF(Q2452="","",IF(Q2452&gt;=60,"HIGH",IF(Q2452&gt;=30,"MEDIUM","LOW")))</f>
        <v/>
      </c>
    </row>
    <row r="2453">
      <c r="A2453" t="n">
        <v>2452</v>
      </c>
      <c r="R2453">
        <f>IF(Q2453="","",IF(Q2453&gt;=60,"HIGH",IF(Q2453&gt;=30,"MEDIUM","LOW")))</f>
        <v/>
      </c>
    </row>
    <row r="2454">
      <c r="A2454" t="n">
        <v>2453</v>
      </c>
      <c r="R2454">
        <f>IF(Q2454="","",IF(Q2454&gt;=60,"HIGH",IF(Q2454&gt;=30,"MEDIUM","LOW")))</f>
        <v/>
      </c>
    </row>
    <row r="2455">
      <c r="A2455" t="n">
        <v>2454</v>
      </c>
      <c r="R2455">
        <f>IF(Q2455="","",IF(Q2455&gt;=60,"HIGH",IF(Q2455&gt;=30,"MEDIUM","LOW")))</f>
        <v/>
      </c>
    </row>
    <row r="2456">
      <c r="A2456" t="n">
        <v>2455</v>
      </c>
      <c r="R2456">
        <f>IF(Q2456="","",IF(Q2456&gt;=60,"HIGH",IF(Q2456&gt;=30,"MEDIUM","LOW")))</f>
        <v/>
      </c>
    </row>
    <row r="2457">
      <c r="A2457" t="n">
        <v>2456</v>
      </c>
      <c r="R2457">
        <f>IF(Q2457="","",IF(Q2457&gt;=60,"HIGH",IF(Q2457&gt;=30,"MEDIUM","LOW")))</f>
        <v/>
      </c>
    </row>
    <row r="2458">
      <c r="A2458" t="n">
        <v>2457</v>
      </c>
      <c r="R2458">
        <f>IF(Q2458="","",IF(Q2458&gt;=60,"HIGH",IF(Q2458&gt;=30,"MEDIUM","LOW")))</f>
        <v/>
      </c>
    </row>
    <row r="2459">
      <c r="A2459" t="n">
        <v>2458</v>
      </c>
      <c r="R2459">
        <f>IF(Q2459="","",IF(Q2459&gt;=60,"HIGH",IF(Q2459&gt;=30,"MEDIUM","LOW")))</f>
        <v/>
      </c>
    </row>
    <row r="2460">
      <c r="A2460" t="n">
        <v>2459</v>
      </c>
      <c r="R2460">
        <f>IF(Q2460="","",IF(Q2460&gt;=60,"HIGH",IF(Q2460&gt;=30,"MEDIUM","LOW")))</f>
        <v/>
      </c>
    </row>
    <row r="2461">
      <c r="A2461" t="n">
        <v>2460</v>
      </c>
      <c r="R2461">
        <f>IF(Q2461="","",IF(Q2461&gt;=60,"HIGH",IF(Q2461&gt;=30,"MEDIUM","LOW")))</f>
        <v/>
      </c>
    </row>
    <row r="2462">
      <c r="A2462" t="n">
        <v>2461</v>
      </c>
      <c r="R2462">
        <f>IF(Q2462="","",IF(Q2462&gt;=60,"HIGH",IF(Q2462&gt;=30,"MEDIUM","LOW")))</f>
        <v/>
      </c>
    </row>
    <row r="2463">
      <c r="A2463" t="n">
        <v>2462</v>
      </c>
      <c r="R2463">
        <f>IF(Q2463="","",IF(Q2463&gt;=60,"HIGH",IF(Q2463&gt;=30,"MEDIUM","LOW")))</f>
        <v/>
      </c>
    </row>
    <row r="2464">
      <c r="A2464" t="n">
        <v>2463</v>
      </c>
      <c r="R2464">
        <f>IF(Q2464="","",IF(Q2464&gt;=60,"HIGH",IF(Q2464&gt;=30,"MEDIUM","LOW")))</f>
        <v/>
      </c>
    </row>
    <row r="2465">
      <c r="A2465" t="n">
        <v>2464</v>
      </c>
      <c r="R2465">
        <f>IF(Q2465="","",IF(Q2465&gt;=60,"HIGH",IF(Q2465&gt;=30,"MEDIUM","LOW")))</f>
        <v/>
      </c>
    </row>
    <row r="2466">
      <c r="A2466" t="n">
        <v>2465</v>
      </c>
      <c r="R2466">
        <f>IF(Q2466="","",IF(Q2466&gt;=60,"HIGH",IF(Q2466&gt;=30,"MEDIUM","LOW")))</f>
        <v/>
      </c>
    </row>
    <row r="2467">
      <c r="A2467" t="n">
        <v>2466</v>
      </c>
      <c r="R2467">
        <f>IF(Q2467="","",IF(Q2467&gt;=60,"HIGH",IF(Q2467&gt;=30,"MEDIUM","LOW")))</f>
        <v/>
      </c>
    </row>
    <row r="2468">
      <c r="A2468" t="n">
        <v>2467</v>
      </c>
      <c r="R2468">
        <f>IF(Q2468="","",IF(Q2468&gt;=60,"HIGH",IF(Q2468&gt;=30,"MEDIUM","LOW")))</f>
        <v/>
      </c>
    </row>
    <row r="2469">
      <c r="A2469" t="n">
        <v>2468</v>
      </c>
      <c r="R2469">
        <f>IF(Q2469="","",IF(Q2469&gt;=60,"HIGH",IF(Q2469&gt;=30,"MEDIUM","LOW")))</f>
        <v/>
      </c>
    </row>
    <row r="2470">
      <c r="A2470" t="n">
        <v>2469</v>
      </c>
      <c r="R2470">
        <f>IF(Q2470="","",IF(Q2470&gt;=60,"HIGH",IF(Q2470&gt;=30,"MEDIUM","LOW")))</f>
        <v/>
      </c>
    </row>
    <row r="2471">
      <c r="A2471" t="n">
        <v>2470</v>
      </c>
      <c r="R2471">
        <f>IF(Q2471="","",IF(Q2471&gt;=60,"HIGH",IF(Q2471&gt;=30,"MEDIUM","LOW")))</f>
        <v/>
      </c>
    </row>
    <row r="2472">
      <c r="A2472" t="n">
        <v>2471</v>
      </c>
      <c r="R2472">
        <f>IF(Q2472="","",IF(Q2472&gt;=60,"HIGH",IF(Q2472&gt;=30,"MEDIUM","LOW")))</f>
        <v/>
      </c>
    </row>
    <row r="2473">
      <c r="A2473" t="n">
        <v>2472</v>
      </c>
      <c r="R2473">
        <f>IF(Q2473="","",IF(Q2473&gt;=60,"HIGH",IF(Q2473&gt;=30,"MEDIUM","LOW")))</f>
        <v/>
      </c>
    </row>
    <row r="2474">
      <c r="A2474" t="n">
        <v>2473</v>
      </c>
      <c r="R2474">
        <f>IF(Q2474="","",IF(Q2474&gt;=60,"HIGH",IF(Q2474&gt;=30,"MEDIUM","LOW")))</f>
        <v/>
      </c>
    </row>
    <row r="2475">
      <c r="A2475" t="n">
        <v>2474</v>
      </c>
      <c r="R2475">
        <f>IF(Q2475="","",IF(Q2475&gt;=60,"HIGH",IF(Q2475&gt;=30,"MEDIUM","LOW")))</f>
        <v/>
      </c>
    </row>
    <row r="2476">
      <c r="A2476" t="n">
        <v>2475</v>
      </c>
      <c r="R2476">
        <f>IF(Q2476="","",IF(Q2476&gt;=60,"HIGH",IF(Q2476&gt;=30,"MEDIUM","LOW")))</f>
        <v/>
      </c>
    </row>
    <row r="2477">
      <c r="A2477" t="n">
        <v>2476</v>
      </c>
      <c r="R2477">
        <f>IF(Q2477="","",IF(Q2477&gt;=60,"HIGH",IF(Q2477&gt;=30,"MEDIUM","LOW")))</f>
        <v/>
      </c>
    </row>
    <row r="2478">
      <c r="A2478" t="n">
        <v>2477</v>
      </c>
      <c r="R2478">
        <f>IF(Q2478="","",IF(Q2478&gt;=60,"HIGH",IF(Q2478&gt;=30,"MEDIUM","LOW")))</f>
        <v/>
      </c>
    </row>
    <row r="2479">
      <c r="A2479" t="n">
        <v>2478</v>
      </c>
      <c r="R2479">
        <f>IF(Q2479="","",IF(Q2479&gt;=60,"HIGH",IF(Q2479&gt;=30,"MEDIUM","LOW")))</f>
        <v/>
      </c>
    </row>
    <row r="2480">
      <c r="A2480" t="n">
        <v>2479</v>
      </c>
      <c r="R2480">
        <f>IF(Q2480="","",IF(Q2480&gt;=60,"HIGH",IF(Q2480&gt;=30,"MEDIUM","LOW")))</f>
        <v/>
      </c>
    </row>
    <row r="2481">
      <c r="A2481" t="n">
        <v>2480</v>
      </c>
      <c r="R2481">
        <f>IF(Q2481="","",IF(Q2481&gt;=60,"HIGH",IF(Q2481&gt;=30,"MEDIUM","LOW")))</f>
        <v/>
      </c>
    </row>
    <row r="2482">
      <c r="A2482" t="n">
        <v>2481</v>
      </c>
      <c r="R2482">
        <f>IF(Q2482="","",IF(Q2482&gt;=60,"HIGH",IF(Q2482&gt;=30,"MEDIUM","LOW")))</f>
        <v/>
      </c>
    </row>
    <row r="2483">
      <c r="A2483" t="n">
        <v>2482</v>
      </c>
      <c r="R2483">
        <f>IF(Q2483="","",IF(Q2483&gt;=60,"HIGH",IF(Q2483&gt;=30,"MEDIUM","LOW")))</f>
        <v/>
      </c>
    </row>
    <row r="2484">
      <c r="A2484" t="n">
        <v>2483</v>
      </c>
      <c r="R2484">
        <f>IF(Q2484="","",IF(Q2484&gt;=60,"HIGH",IF(Q2484&gt;=30,"MEDIUM","LOW")))</f>
        <v/>
      </c>
    </row>
    <row r="2485">
      <c r="A2485" t="n">
        <v>2484</v>
      </c>
      <c r="R2485">
        <f>IF(Q2485="","",IF(Q2485&gt;=60,"HIGH",IF(Q2485&gt;=30,"MEDIUM","LOW")))</f>
        <v/>
      </c>
    </row>
    <row r="2486">
      <c r="A2486" t="n">
        <v>2485</v>
      </c>
      <c r="R2486">
        <f>IF(Q2486="","",IF(Q2486&gt;=60,"HIGH",IF(Q2486&gt;=30,"MEDIUM","LOW")))</f>
        <v/>
      </c>
    </row>
    <row r="2487">
      <c r="A2487" t="n">
        <v>2486</v>
      </c>
      <c r="R2487">
        <f>IF(Q2487="","",IF(Q2487&gt;=60,"HIGH",IF(Q2487&gt;=30,"MEDIUM","LOW")))</f>
        <v/>
      </c>
    </row>
    <row r="2488">
      <c r="A2488" t="n">
        <v>2487</v>
      </c>
      <c r="R2488">
        <f>IF(Q2488="","",IF(Q2488&gt;=60,"HIGH",IF(Q2488&gt;=30,"MEDIUM","LOW")))</f>
        <v/>
      </c>
    </row>
    <row r="2489">
      <c r="A2489" t="n">
        <v>2488</v>
      </c>
      <c r="R2489">
        <f>IF(Q2489="","",IF(Q2489&gt;=60,"HIGH",IF(Q2489&gt;=30,"MEDIUM","LOW")))</f>
        <v/>
      </c>
    </row>
    <row r="2490">
      <c r="A2490" t="n">
        <v>2489</v>
      </c>
      <c r="R2490">
        <f>IF(Q2490="","",IF(Q2490&gt;=60,"HIGH",IF(Q2490&gt;=30,"MEDIUM","LOW")))</f>
        <v/>
      </c>
    </row>
    <row r="2491">
      <c r="A2491" t="n">
        <v>2490</v>
      </c>
      <c r="R2491">
        <f>IF(Q2491="","",IF(Q2491&gt;=60,"HIGH",IF(Q2491&gt;=30,"MEDIUM","LOW")))</f>
        <v/>
      </c>
    </row>
    <row r="2492">
      <c r="A2492" t="n">
        <v>2491</v>
      </c>
      <c r="R2492">
        <f>IF(Q2492="","",IF(Q2492&gt;=60,"HIGH",IF(Q2492&gt;=30,"MEDIUM","LOW")))</f>
        <v/>
      </c>
    </row>
    <row r="2493">
      <c r="A2493" t="n">
        <v>2492</v>
      </c>
      <c r="R2493">
        <f>IF(Q2493="","",IF(Q2493&gt;=60,"HIGH",IF(Q2493&gt;=30,"MEDIUM","LOW")))</f>
        <v/>
      </c>
    </row>
    <row r="2494">
      <c r="A2494" t="n">
        <v>2493</v>
      </c>
      <c r="R2494">
        <f>IF(Q2494="","",IF(Q2494&gt;=60,"HIGH",IF(Q2494&gt;=30,"MEDIUM","LOW")))</f>
        <v/>
      </c>
    </row>
    <row r="2495">
      <c r="A2495" t="n">
        <v>2494</v>
      </c>
      <c r="R2495">
        <f>IF(Q2495="","",IF(Q2495&gt;=60,"HIGH",IF(Q2495&gt;=30,"MEDIUM","LOW")))</f>
        <v/>
      </c>
    </row>
    <row r="2496">
      <c r="A2496" t="n">
        <v>2495</v>
      </c>
      <c r="R2496">
        <f>IF(Q2496="","",IF(Q2496&gt;=60,"HIGH",IF(Q2496&gt;=30,"MEDIUM","LOW")))</f>
        <v/>
      </c>
    </row>
    <row r="2497">
      <c r="A2497" t="n">
        <v>2496</v>
      </c>
      <c r="R2497">
        <f>IF(Q2497="","",IF(Q2497&gt;=60,"HIGH",IF(Q2497&gt;=30,"MEDIUM","LOW")))</f>
        <v/>
      </c>
    </row>
    <row r="2498">
      <c r="A2498" t="n">
        <v>2497</v>
      </c>
      <c r="R2498">
        <f>IF(Q2498="","",IF(Q2498&gt;=60,"HIGH",IF(Q2498&gt;=30,"MEDIUM","LOW")))</f>
        <v/>
      </c>
    </row>
    <row r="2499">
      <c r="A2499" t="n">
        <v>2498</v>
      </c>
      <c r="R2499">
        <f>IF(Q2499="","",IF(Q2499&gt;=60,"HIGH",IF(Q2499&gt;=30,"MEDIUM","LOW")))</f>
        <v/>
      </c>
    </row>
    <row r="2500">
      <c r="A2500" t="n">
        <v>2499</v>
      </c>
      <c r="R2500">
        <f>IF(Q2500="","",IF(Q2500&gt;=60,"HIGH",IF(Q2500&gt;=30,"MEDIUM","LOW")))</f>
        <v/>
      </c>
    </row>
    <row r="2501">
      <c r="A2501" t="n">
        <v>2500</v>
      </c>
      <c r="R2501">
        <f>IF(Q2501="","",IF(Q2501&gt;=60,"HIGH",IF(Q2501&gt;=30,"MEDIUM","LOW")))</f>
        <v/>
      </c>
    </row>
    <row r="2502">
      <c r="A2502" t="n">
        <v>2501</v>
      </c>
      <c r="R2502">
        <f>IF(Q2502="","",IF(Q2502&gt;=60,"HIGH",IF(Q2502&gt;=30,"MEDIUM","LOW")))</f>
        <v/>
      </c>
    </row>
    <row r="2503">
      <c r="A2503" t="n">
        <v>2502</v>
      </c>
      <c r="R2503">
        <f>IF(Q2503="","",IF(Q2503&gt;=60,"HIGH",IF(Q2503&gt;=30,"MEDIUM","LOW")))</f>
        <v/>
      </c>
    </row>
    <row r="2504">
      <c r="A2504" t="n">
        <v>2503</v>
      </c>
      <c r="R2504">
        <f>IF(Q2504="","",IF(Q2504&gt;=60,"HIGH",IF(Q2504&gt;=30,"MEDIUM","LOW")))</f>
        <v/>
      </c>
    </row>
    <row r="2505">
      <c r="A2505" t="n">
        <v>2504</v>
      </c>
      <c r="R2505">
        <f>IF(Q2505="","",IF(Q2505&gt;=60,"HIGH",IF(Q2505&gt;=30,"MEDIUM","LOW")))</f>
        <v/>
      </c>
    </row>
    <row r="2506">
      <c r="A2506" t="n">
        <v>2505</v>
      </c>
      <c r="R2506">
        <f>IF(Q2506="","",IF(Q2506&gt;=60,"HIGH",IF(Q2506&gt;=30,"MEDIUM","LOW")))</f>
        <v/>
      </c>
    </row>
    <row r="2507">
      <c r="A2507" t="n">
        <v>2506</v>
      </c>
      <c r="R2507">
        <f>IF(Q2507="","",IF(Q2507&gt;=60,"HIGH",IF(Q2507&gt;=30,"MEDIUM","LOW")))</f>
        <v/>
      </c>
    </row>
    <row r="2508">
      <c r="A2508" t="n">
        <v>2507</v>
      </c>
      <c r="R2508">
        <f>IF(Q2508="","",IF(Q2508&gt;=60,"HIGH",IF(Q2508&gt;=30,"MEDIUM","LOW")))</f>
        <v/>
      </c>
    </row>
    <row r="2509">
      <c r="A2509" t="n">
        <v>2508</v>
      </c>
      <c r="R2509">
        <f>IF(Q2509="","",IF(Q2509&gt;=60,"HIGH",IF(Q2509&gt;=30,"MEDIUM","LOW")))</f>
        <v/>
      </c>
    </row>
    <row r="2510">
      <c r="A2510" t="n">
        <v>2509</v>
      </c>
      <c r="R2510">
        <f>IF(Q2510="","",IF(Q2510&gt;=60,"HIGH",IF(Q2510&gt;=30,"MEDIUM","LOW")))</f>
        <v/>
      </c>
    </row>
    <row r="2511">
      <c r="A2511" t="n">
        <v>2510</v>
      </c>
      <c r="R2511">
        <f>IF(Q2511="","",IF(Q2511&gt;=60,"HIGH",IF(Q2511&gt;=30,"MEDIUM","LOW")))</f>
        <v/>
      </c>
    </row>
    <row r="2512">
      <c r="A2512" t="n">
        <v>2511</v>
      </c>
      <c r="R2512">
        <f>IF(Q2512="","",IF(Q2512&gt;=60,"HIGH",IF(Q2512&gt;=30,"MEDIUM","LOW")))</f>
        <v/>
      </c>
    </row>
    <row r="2513">
      <c r="A2513" t="n">
        <v>2512</v>
      </c>
      <c r="R2513">
        <f>IF(Q2513="","",IF(Q2513&gt;=60,"HIGH",IF(Q2513&gt;=30,"MEDIUM","LOW")))</f>
        <v/>
      </c>
    </row>
    <row r="2514">
      <c r="A2514" t="n">
        <v>2513</v>
      </c>
      <c r="R2514">
        <f>IF(Q2514="","",IF(Q2514&gt;=60,"HIGH",IF(Q2514&gt;=30,"MEDIUM","LOW")))</f>
        <v/>
      </c>
    </row>
    <row r="2515">
      <c r="A2515" t="n">
        <v>2514</v>
      </c>
      <c r="R2515">
        <f>IF(Q2515="","",IF(Q2515&gt;=60,"HIGH",IF(Q2515&gt;=30,"MEDIUM","LOW")))</f>
        <v/>
      </c>
    </row>
    <row r="2516">
      <c r="A2516" t="n">
        <v>2515</v>
      </c>
      <c r="R2516">
        <f>IF(Q2516="","",IF(Q2516&gt;=60,"HIGH",IF(Q2516&gt;=30,"MEDIUM","LOW")))</f>
        <v/>
      </c>
    </row>
    <row r="2517">
      <c r="A2517" t="n">
        <v>2516</v>
      </c>
      <c r="R2517">
        <f>IF(Q2517="","",IF(Q2517&gt;=60,"HIGH",IF(Q2517&gt;=30,"MEDIUM","LOW")))</f>
        <v/>
      </c>
    </row>
    <row r="2518">
      <c r="A2518" t="n">
        <v>2517</v>
      </c>
      <c r="R2518">
        <f>IF(Q2518="","",IF(Q2518&gt;=60,"HIGH",IF(Q2518&gt;=30,"MEDIUM","LOW")))</f>
        <v/>
      </c>
    </row>
    <row r="2519">
      <c r="A2519" t="n">
        <v>2518</v>
      </c>
      <c r="R2519">
        <f>IF(Q2519="","",IF(Q2519&gt;=60,"HIGH",IF(Q2519&gt;=30,"MEDIUM","LOW")))</f>
        <v/>
      </c>
    </row>
    <row r="2520">
      <c r="A2520" t="n">
        <v>2519</v>
      </c>
      <c r="R2520">
        <f>IF(Q2520="","",IF(Q2520&gt;=60,"HIGH",IF(Q2520&gt;=30,"MEDIUM","LOW")))</f>
        <v/>
      </c>
    </row>
    <row r="2521">
      <c r="A2521" t="n">
        <v>2520</v>
      </c>
      <c r="R2521">
        <f>IF(Q2521="","",IF(Q2521&gt;=60,"HIGH",IF(Q2521&gt;=30,"MEDIUM","LOW")))</f>
        <v/>
      </c>
    </row>
    <row r="2522">
      <c r="A2522" t="n">
        <v>2521</v>
      </c>
      <c r="R2522">
        <f>IF(Q2522="","",IF(Q2522&gt;=60,"HIGH",IF(Q2522&gt;=30,"MEDIUM","LOW")))</f>
        <v/>
      </c>
    </row>
    <row r="2523">
      <c r="A2523" t="n">
        <v>2522</v>
      </c>
      <c r="R2523">
        <f>IF(Q2523="","",IF(Q2523&gt;=60,"HIGH",IF(Q2523&gt;=30,"MEDIUM","LOW")))</f>
        <v/>
      </c>
    </row>
    <row r="2524">
      <c r="A2524" t="n">
        <v>2523</v>
      </c>
      <c r="R2524">
        <f>IF(Q2524="","",IF(Q2524&gt;=60,"HIGH",IF(Q2524&gt;=30,"MEDIUM","LOW")))</f>
        <v/>
      </c>
    </row>
    <row r="2525">
      <c r="A2525" t="n">
        <v>2524</v>
      </c>
      <c r="R2525">
        <f>IF(Q2525="","",IF(Q2525&gt;=60,"HIGH",IF(Q2525&gt;=30,"MEDIUM","LOW")))</f>
        <v/>
      </c>
    </row>
    <row r="2526">
      <c r="A2526" t="n">
        <v>2525</v>
      </c>
      <c r="R2526">
        <f>IF(Q2526="","",IF(Q2526&gt;=60,"HIGH",IF(Q2526&gt;=30,"MEDIUM","LOW")))</f>
        <v/>
      </c>
    </row>
    <row r="2527">
      <c r="A2527" t="n">
        <v>2526</v>
      </c>
      <c r="R2527">
        <f>IF(Q2527="","",IF(Q2527&gt;=60,"HIGH",IF(Q2527&gt;=30,"MEDIUM","LOW")))</f>
        <v/>
      </c>
    </row>
    <row r="2528">
      <c r="A2528" t="n">
        <v>2527</v>
      </c>
      <c r="R2528">
        <f>IF(Q2528="","",IF(Q2528&gt;=60,"HIGH",IF(Q2528&gt;=30,"MEDIUM","LOW")))</f>
        <v/>
      </c>
    </row>
    <row r="2529">
      <c r="A2529" t="n">
        <v>2528</v>
      </c>
      <c r="R2529">
        <f>IF(Q2529="","",IF(Q2529&gt;=60,"HIGH",IF(Q2529&gt;=30,"MEDIUM","LOW")))</f>
        <v/>
      </c>
    </row>
    <row r="2530">
      <c r="A2530" t="n">
        <v>2529</v>
      </c>
      <c r="R2530">
        <f>IF(Q2530="","",IF(Q2530&gt;=60,"HIGH",IF(Q2530&gt;=30,"MEDIUM","LOW")))</f>
        <v/>
      </c>
    </row>
    <row r="2531">
      <c r="A2531" t="n">
        <v>2530</v>
      </c>
      <c r="R2531">
        <f>IF(Q2531="","",IF(Q2531&gt;=60,"HIGH",IF(Q2531&gt;=30,"MEDIUM","LOW")))</f>
        <v/>
      </c>
    </row>
    <row r="2532">
      <c r="A2532" t="n">
        <v>2531</v>
      </c>
      <c r="R2532">
        <f>IF(Q2532="","",IF(Q2532&gt;=60,"HIGH",IF(Q2532&gt;=30,"MEDIUM","LOW")))</f>
        <v/>
      </c>
    </row>
    <row r="2533">
      <c r="A2533" t="n">
        <v>2532</v>
      </c>
      <c r="R2533">
        <f>IF(Q2533="","",IF(Q2533&gt;=60,"HIGH",IF(Q2533&gt;=30,"MEDIUM","LOW")))</f>
        <v/>
      </c>
    </row>
    <row r="2534">
      <c r="A2534" t="n">
        <v>2533</v>
      </c>
      <c r="R2534">
        <f>IF(Q2534="","",IF(Q2534&gt;=60,"HIGH",IF(Q2534&gt;=30,"MEDIUM","LOW")))</f>
        <v/>
      </c>
    </row>
    <row r="2535">
      <c r="A2535" t="n">
        <v>2534</v>
      </c>
      <c r="R2535">
        <f>IF(Q2535="","",IF(Q2535&gt;=60,"HIGH",IF(Q2535&gt;=30,"MEDIUM","LOW")))</f>
        <v/>
      </c>
    </row>
    <row r="2536">
      <c r="A2536" t="n">
        <v>2535</v>
      </c>
      <c r="R2536">
        <f>IF(Q2536="","",IF(Q2536&gt;=60,"HIGH",IF(Q2536&gt;=30,"MEDIUM","LOW")))</f>
        <v/>
      </c>
    </row>
    <row r="2537">
      <c r="A2537" t="n">
        <v>2536</v>
      </c>
      <c r="R2537">
        <f>IF(Q2537="","",IF(Q2537&gt;=60,"HIGH",IF(Q2537&gt;=30,"MEDIUM","LOW")))</f>
        <v/>
      </c>
    </row>
    <row r="2538">
      <c r="A2538" t="n">
        <v>2537</v>
      </c>
      <c r="R2538">
        <f>IF(Q2538="","",IF(Q2538&gt;=60,"HIGH",IF(Q2538&gt;=30,"MEDIUM","LOW")))</f>
        <v/>
      </c>
    </row>
    <row r="2539">
      <c r="A2539" t="n">
        <v>2538</v>
      </c>
      <c r="R2539">
        <f>IF(Q2539="","",IF(Q2539&gt;=60,"HIGH",IF(Q2539&gt;=30,"MEDIUM","LOW")))</f>
        <v/>
      </c>
    </row>
    <row r="2540">
      <c r="A2540" t="n">
        <v>2539</v>
      </c>
      <c r="R2540">
        <f>IF(Q2540="","",IF(Q2540&gt;=60,"HIGH",IF(Q2540&gt;=30,"MEDIUM","LOW")))</f>
        <v/>
      </c>
    </row>
    <row r="2541">
      <c r="A2541" t="n">
        <v>2540</v>
      </c>
      <c r="R2541">
        <f>IF(Q2541="","",IF(Q2541&gt;=60,"HIGH",IF(Q2541&gt;=30,"MEDIUM","LOW")))</f>
        <v/>
      </c>
    </row>
    <row r="2542">
      <c r="A2542" t="n">
        <v>2541</v>
      </c>
      <c r="R2542">
        <f>IF(Q2542="","",IF(Q2542&gt;=60,"HIGH",IF(Q2542&gt;=30,"MEDIUM","LOW")))</f>
        <v/>
      </c>
    </row>
    <row r="2543">
      <c r="A2543" t="n">
        <v>2542</v>
      </c>
      <c r="R2543">
        <f>IF(Q2543="","",IF(Q2543&gt;=60,"HIGH",IF(Q2543&gt;=30,"MEDIUM","LOW")))</f>
        <v/>
      </c>
    </row>
    <row r="2544">
      <c r="A2544" t="n">
        <v>2543</v>
      </c>
      <c r="R2544">
        <f>IF(Q2544="","",IF(Q2544&gt;=60,"HIGH",IF(Q2544&gt;=30,"MEDIUM","LOW")))</f>
        <v/>
      </c>
    </row>
    <row r="2545">
      <c r="A2545" t="n">
        <v>2544</v>
      </c>
      <c r="R2545">
        <f>IF(Q2545="","",IF(Q2545&gt;=60,"HIGH",IF(Q2545&gt;=30,"MEDIUM","LOW")))</f>
        <v/>
      </c>
    </row>
    <row r="2546">
      <c r="A2546" t="n">
        <v>2545</v>
      </c>
      <c r="R2546">
        <f>IF(Q2546="","",IF(Q2546&gt;=60,"HIGH",IF(Q2546&gt;=30,"MEDIUM","LOW")))</f>
        <v/>
      </c>
    </row>
    <row r="2547">
      <c r="A2547" t="n">
        <v>2546</v>
      </c>
      <c r="R2547">
        <f>IF(Q2547="","",IF(Q2547&gt;=60,"HIGH",IF(Q2547&gt;=30,"MEDIUM","LOW")))</f>
        <v/>
      </c>
    </row>
    <row r="2548">
      <c r="A2548" t="n">
        <v>2547</v>
      </c>
      <c r="R2548">
        <f>IF(Q2548="","",IF(Q2548&gt;=60,"HIGH",IF(Q2548&gt;=30,"MEDIUM","LOW")))</f>
        <v/>
      </c>
    </row>
    <row r="2549">
      <c r="A2549" t="n">
        <v>2548</v>
      </c>
      <c r="R2549">
        <f>IF(Q2549="","",IF(Q2549&gt;=60,"HIGH",IF(Q2549&gt;=30,"MEDIUM","LOW")))</f>
        <v/>
      </c>
    </row>
    <row r="2550">
      <c r="A2550" t="n">
        <v>2549</v>
      </c>
      <c r="R2550">
        <f>IF(Q2550="","",IF(Q2550&gt;=60,"HIGH",IF(Q2550&gt;=30,"MEDIUM","LOW")))</f>
        <v/>
      </c>
    </row>
    <row r="2551">
      <c r="A2551" t="n">
        <v>2550</v>
      </c>
      <c r="R2551">
        <f>IF(Q2551="","",IF(Q2551&gt;=60,"HIGH",IF(Q2551&gt;=30,"MEDIUM","LOW")))</f>
        <v/>
      </c>
    </row>
    <row r="2552">
      <c r="A2552" t="n">
        <v>2551</v>
      </c>
      <c r="R2552">
        <f>IF(Q2552="","",IF(Q2552&gt;=60,"HIGH",IF(Q2552&gt;=30,"MEDIUM","LOW")))</f>
        <v/>
      </c>
    </row>
    <row r="2553">
      <c r="A2553" t="n">
        <v>2552</v>
      </c>
      <c r="R2553">
        <f>IF(Q2553="","",IF(Q2553&gt;=60,"HIGH",IF(Q2553&gt;=30,"MEDIUM","LOW")))</f>
        <v/>
      </c>
    </row>
    <row r="2554">
      <c r="A2554" t="n">
        <v>2553</v>
      </c>
      <c r="R2554">
        <f>IF(Q2554="","",IF(Q2554&gt;=60,"HIGH",IF(Q2554&gt;=30,"MEDIUM","LOW")))</f>
        <v/>
      </c>
    </row>
    <row r="2555">
      <c r="A2555" t="n">
        <v>2554</v>
      </c>
      <c r="R2555">
        <f>IF(Q2555="","",IF(Q2555&gt;=60,"HIGH",IF(Q2555&gt;=30,"MEDIUM","LOW")))</f>
        <v/>
      </c>
    </row>
    <row r="2556">
      <c r="A2556" t="n">
        <v>2555</v>
      </c>
      <c r="R2556">
        <f>IF(Q2556="","",IF(Q2556&gt;=60,"HIGH",IF(Q2556&gt;=30,"MEDIUM","LOW")))</f>
        <v/>
      </c>
    </row>
    <row r="2557">
      <c r="A2557" t="n">
        <v>2556</v>
      </c>
      <c r="R2557">
        <f>IF(Q2557="","",IF(Q2557&gt;=60,"HIGH",IF(Q2557&gt;=30,"MEDIUM","LOW")))</f>
        <v/>
      </c>
    </row>
    <row r="2558">
      <c r="A2558" t="n">
        <v>2557</v>
      </c>
      <c r="R2558">
        <f>IF(Q2558="","",IF(Q2558&gt;=60,"HIGH",IF(Q2558&gt;=30,"MEDIUM","LOW")))</f>
        <v/>
      </c>
    </row>
    <row r="2559">
      <c r="A2559" t="n">
        <v>2558</v>
      </c>
      <c r="R2559">
        <f>IF(Q2559="","",IF(Q2559&gt;=60,"HIGH",IF(Q2559&gt;=30,"MEDIUM","LOW")))</f>
        <v/>
      </c>
    </row>
    <row r="2560">
      <c r="A2560" t="n">
        <v>2559</v>
      </c>
      <c r="R2560">
        <f>IF(Q2560="","",IF(Q2560&gt;=60,"HIGH",IF(Q2560&gt;=30,"MEDIUM","LOW")))</f>
        <v/>
      </c>
    </row>
    <row r="2561">
      <c r="A2561" t="n">
        <v>2560</v>
      </c>
      <c r="R2561">
        <f>IF(Q2561="","",IF(Q2561&gt;=60,"HIGH",IF(Q2561&gt;=30,"MEDIUM","LOW")))</f>
        <v/>
      </c>
    </row>
    <row r="2562">
      <c r="A2562" t="n">
        <v>2561</v>
      </c>
      <c r="R2562">
        <f>IF(Q2562="","",IF(Q2562&gt;=60,"HIGH",IF(Q2562&gt;=30,"MEDIUM","LOW")))</f>
        <v/>
      </c>
    </row>
    <row r="2563">
      <c r="A2563" t="n">
        <v>2562</v>
      </c>
      <c r="R2563">
        <f>IF(Q2563="","",IF(Q2563&gt;=60,"HIGH",IF(Q2563&gt;=30,"MEDIUM","LOW")))</f>
        <v/>
      </c>
    </row>
    <row r="2564">
      <c r="A2564" t="n">
        <v>2563</v>
      </c>
      <c r="R2564">
        <f>IF(Q2564="","",IF(Q2564&gt;=60,"HIGH",IF(Q2564&gt;=30,"MEDIUM","LOW")))</f>
        <v/>
      </c>
    </row>
    <row r="2565">
      <c r="A2565" t="n">
        <v>2564</v>
      </c>
      <c r="R2565">
        <f>IF(Q2565="","",IF(Q2565&gt;=60,"HIGH",IF(Q2565&gt;=30,"MEDIUM","LOW")))</f>
        <v/>
      </c>
    </row>
    <row r="2566">
      <c r="A2566" t="n">
        <v>2565</v>
      </c>
      <c r="R2566">
        <f>IF(Q2566="","",IF(Q2566&gt;=60,"HIGH",IF(Q2566&gt;=30,"MEDIUM","LOW")))</f>
        <v/>
      </c>
    </row>
    <row r="2567">
      <c r="A2567" t="n">
        <v>2566</v>
      </c>
      <c r="R2567">
        <f>IF(Q2567="","",IF(Q2567&gt;=60,"HIGH",IF(Q2567&gt;=30,"MEDIUM","LOW")))</f>
        <v/>
      </c>
    </row>
    <row r="2568">
      <c r="A2568" t="n">
        <v>2567</v>
      </c>
      <c r="R2568">
        <f>IF(Q2568="","",IF(Q2568&gt;=60,"HIGH",IF(Q2568&gt;=30,"MEDIUM","LOW")))</f>
        <v/>
      </c>
    </row>
    <row r="2569">
      <c r="A2569" t="n">
        <v>2568</v>
      </c>
      <c r="R2569">
        <f>IF(Q2569="","",IF(Q2569&gt;=60,"HIGH",IF(Q2569&gt;=30,"MEDIUM","LOW")))</f>
        <v/>
      </c>
    </row>
    <row r="2570">
      <c r="A2570" t="n">
        <v>2569</v>
      </c>
      <c r="R2570">
        <f>IF(Q2570="","",IF(Q2570&gt;=60,"HIGH",IF(Q2570&gt;=30,"MEDIUM","LOW")))</f>
        <v/>
      </c>
    </row>
    <row r="2571">
      <c r="A2571" t="n">
        <v>2570</v>
      </c>
      <c r="R2571">
        <f>IF(Q2571="","",IF(Q2571&gt;=60,"HIGH",IF(Q2571&gt;=30,"MEDIUM","LOW")))</f>
        <v/>
      </c>
    </row>
    <row r="2572">
      <c r="A2572" t="n">
        <v>2571</v>
      </c>
      <c r="R2572">
        <f>IF(Q2572="","",IF(Q2572&gt;=60,"HIGH",IF(Q2572&gt;=30,"MEDIUM","LOW")))</f>
        <v/>
      </c>
    </row>
    <row r="2573">
      <c r="A2573" t="n">
        <v>2572</v>
      </c>
      <c r="R2573">
        <f>IF(Q2573="","",IF(Q2573&gt;=60,"HIGH",IF(Q2573&gt;=30,"MEDIUM","LOW")))</f>
        <v/>
      </c>
    </row>
    <row r="2574">
      <c r="A2574" t="n">
        <v>2573</v>
      </c>
      <c r="R2574">
        <f>IF(Q2574="","",IF(Q2574&gt;=60,"HIGH",IF(Q2574&gt;=30,"MEDIUM","LOW")))</f>
        <v/>
      </c>
    </row>
    <row r="2575">
      <c r="A2575" t="n">
        <v>2574</v>
      </c>
      <c r="R2575">
        <f>IF(Q2575="","",IF(Q2575&gt;=60,"HIGH",IF(Q2575&gt;=30,"MEDIUM","LOW")))</f>
        <v/>
      </c>
    </row>
    <row r="2576">
      <c r="A2576" t="n">
        <v>2575</v>
      </c>
      <c r="R2576">
        <f>IF(Q2576="","",IF(Q2576&gt;=60,"HIGH",IF(Q2576&gt;=30,"MEDIUM","LOW")))</f>
        <v/>
      </c>
    </row>
    <row r="2577">
      <c r="A2577" t="n">
        <v>2576</v>
      </c>
      <c r="R2577">
        <f>IF(Q2577="","",IF(Q2577&gt;=60,"HIGH",IF(Q2577&gt;=30,"MEDIUM","LOW")))</f>
        <v/>
      </c>
    </row>
    <row r="2578">
      <c r="A2578" t="n">
        <v>2577</v>
      </c>
      <c r="R2578">
        <f>IF(Q2578="","",IF(Q2578&gt;=60,"HIGH",IF(Q2578&gt;=30,"MEDIUM","LOW")))</f>
        <v/>
      </c>
    </row>
    <row r="2579">
      <c r="A2579" t="n">
        <v>2578</v>
      </c>
      <c r="R2579">
        <f>IF(Q2579="","",IF(Q2579&gt;=60,"HIGH",IF(Q2579&gt;=30,"MEDIUM","LOW")))</f>
        <v/>
      </c>
    </row>
    <row r="2580">
      <c r="A2580" t="n">
        <v>2579</v>
      </c>
      <c r="R2580">
        <f>IF(Q2580="","",IF(Q2580&gt;=60,"HIGH",IF(Q2580&gt;=30,"MEDIUM","LOW")))</f>
        <v/>
      </c>
    </row>
    <row r="2581">
      <c r="A2581" t="n">
        <v>2580</v>
      </c>
      <c r="R2581">
        <f>IF(Q2581="","",IF(Q2581&gt;=60,"HIGH",IF(Q2581&gt;=30,"MEDIUM","LOW")))</f>
        <v/>
      </c>
    </row>
    <row r="2582">
      <c r="A2582" t="n">
        <v>2581</v>
      </c>
      <c r="R2582">
        <f>IF(Q2582="","",IF(Q2582&gt;=60,"HIGH",IF(Q2582&gt;=30,"MEDIUM","LOW")))</f>
        <v/>
      </c>
    </row>
    <row r="2583">
      <c r="A2583" t="n">
        <v>2582</v>
      </c>
      <c r="R2583">
        <f>IF(Q2583="","",IF(Q2583&gt;=60,"HIGH",IF(Q2583&gt;=30,"MEDIUM","LOW")))</f>
        <v/>
      </c>
    </row>
    <row r="2584">
      <c r="A2584" t="n">
        <v>2583</v>
      </c>
      <c r="R2584">
        <f>IF(Q2584="","",IF(Q2584&gt;=60,"HIGH",IF(Q2584&gt;=30,"MEDIUM","LOW")))</f>
        <v/>
      </c>
    </row>
    <row r="2585">
      <c r="A2585" t="n">
        <v>2584</v>
      </c>
      <c r="R2585">
        <f>IF(Q2585="","",IF(Q2585&gt;=60,"HIGH",IF(Q2585&gt;=30,"MEDIUM","LOW")))</f>
        <v/>
      </c>
    </row>
    <row r="2586">
      <c r="A2586" t="n">
        <v>2585</v>
      </c>
      <c r="R2586">
        <f>IF(Q2586="","",IF(Q2586&gt;=60,"HIGH",IF(Q2586&gt;=30,"MEDIUM","LOW")))</f>
        <v/>
      </c>
    </row>
    <row r="2587">
      <c r="A2587" t="n">
        <v>2586</v>
      </c>
      <c r="R2587">
        <f>IF(Q2587="","",IF(Q2587&gt;=60,"HIGH",IF(Q2587&gt;=30,"MEDIUM","LOW")))</f>
        <v/>
      </c>
    </row>
    <row r="2588">
      <c r="A2588" t="n">
        <v>2587</v>
      </c>
      <c r="R2588">
        <f>IF(Q2588="","",IF(Q2588&gt;=60,"HIGH",IF(Q2588&gt;=30,"MEDIUM","LOW")))</f>
        <v/>
      </c>
    </row>
    <row r="2589">
      <c r="A2589" t="n">
        <v>2588</v>
      </c>
      <c r="R2589">
        <f>IF(Q2589="","",IF(Q2589&gt;=60,"HIGH",IF(Q2589&gt;=30,"MEDIUM","LOW")))</f>
        <v/>
      </c>
    </row>
    <row r="2590">
      <c r="A2590" t="n">
        <v>2589</v>
      </c>
      <c r="R2590">
        <f>IF(Q2590="","",IF(Q2590&gt;=60,"HIGH",IF(Q2590&gt;=30,"MEDIUM","LOW")))</f>
        <v/>
      </c>
    </row>
    <row r="2591">
      <c r="A2591" t="n">
        <v>2590</v>
      </c>
      <c r="R2591">
        <f>IF(Q2591="","",IF(Q2591&gt;=60,"HIGH",IF(Q2591&gt;=30,"MEDIUM","LOW")))</f>
        <v/>
      </c>
    </row>
    <row r="2592">
      <c r="A2592" t="n">
        <v>2591</v>
      </c>
      <c r="R2592">
        <f>IF(Q2592="","",IF(Q2592&gt;=60,"HIGH",IF(Q2592&gt;=30,"MEDIUM","LOW")))</f>
        <v/>
      </c>
    </row>
    <row r="2593">
      <c r="A2593" t="n">
        <v>2592</v>
      </c>
      <c r="R2593">
        <f>IF(Q2593="","",IF(Q2593&gt;=60,"HIGH",IF(Q2593&gt;=30,"MEDIUM","LOW")))</f>
        <v/>
      </c>
    </row>
    <row r="2594">
      <c r="A2594" t="n">
        <v>2593</v>
      </c>
      <c r="R2594">
        <f>IF(Q2594="","",IF(Q2594&gt;=60,"HIGH",IF(Q2594&gt;=30,"MEDIUM","LOW")))</f>
        <v/>
      </c>
    </row>
    <row r="2595">
      <c r="A2595" t="n">
        <v>2594</v>
      </c>
      <c r="R2595">
        <f>IF(Q2595="","",IF(Q2595&gt;=60,"HIGH",IF(Q2595&gt;=30,"MEDIUM","LOW")))</f>
        <v/>
      </c>
    </row>
    <row r="2596">
      <c r="A2596" t="n">
        <v>2595</v>
      </c>
      <c r="R2596">
        <f>IF(Q2596="","",IF(Q2596&gt;=60,"HIGH",IF(Q2596&gt;=30,"MEDIUM","LOW")))</f>
        <v/>
      </c>
    </row>
    <row r="2597">
      <c r="A2597" t="n">
        <v>2596</v>
      </c>
      <c r="R2597">
        <f>IF(Q2597="","",IF(Q2597&gt;=60,"HIGH",IF(Q2597&gt;=30,"MEDIUM","LOW")))</f>
        <v/>
      </c>
    </row>
    <row r="2598">
      <c r="A2598" t="n">
        <v>2597</v>
      </c>
      <c r="R2598">
        <f>IF(Q2598="","",IF(Q2598&gt;=60,"HIGH",IF(Q2598&gt;=30,"MEDIUM","LOW")))</f>
        <v/>
      </c>
    </row>
    <row r="2599">
      <c r="A2599" t="n">
        <v>2598</v>
      </c>
      <c r="R2599">
        <f>IF(Q2599="","",IF(Q2599&gt;=60,"HIGH",IF(Q2599&gt;=30,"MEDIUM","LOW")))</f>
        <v/>
      </c>
    </row>
    <row r="2600">
      <c r="A2600" t="n">
        <v>2599</v>
      </c>
      <c r="R2600">
        <f>IF(Q2600="","",IF(Q2600&gt;=60,"HIGH",IF(Q2600&gt;=30,"MEDIUM","LOW")))</f>
        <v/>
      </c>
    </row>
    <row r="2601">
      <c r="A2601" t="n">
        <v>2600</v>
      </c>
      <c r="R2601">
        <f>IF(Q2601="","",IF(Q2601&gt;=60,"HIGH",IF(Q2601&gt;=30,"MEDIUM","LOW")))</f>
        <v/>
      </c>
    </row>
    <row r="2602">
      <c r="A2602" t="n">
        <v>2601</v>
      </c>
      <c r="R2602">
        <f>IF(Q2602="","",IF(Q2602&gt;=60,"HIGH",IF(Q2602&gt;=30,"MEDIUM","LOW")))</f>
        <v/>
      </c>
    </row>
    <row r="2603">
      <c r="A2603" t="n">
        <v>2602</v>
      </c>
      <c r="R2603">
        <f>IF(Q2603="","",IF(Q2603&gt;=60,"HIGH",IF(Q2603&gt;=30,"MEDIUM","LOW")))</f>
        <v/>
      </c>
    </row>
    <row r="2604">
      <c r="A2604" t="n">
        <v>2603</v>
      </c>
      <c r="R2604">
        <f>IF(Q2604="","",IF(Q2604&gt;=60,"HIGH",IF(Q2604&gt;=30,"MEDIUM","LOW")))</f>
        <v/>
      </c>
    </row>
    <row r="2605">
      <c r="A2605" t="n">
        <v>2604</v>
      </c>
      <c r="R2605">
        <f>IF(Q2605="","",IF(Q2605&gt;=60,"HIGH",IF(Q2605&gt;=30,"MEDIUM","LOW")))</f>
        <v/>
      </c>
    </row>
    <row r="2606">
      <c r="A2606" t="n">
        <v>2605</v>
      </c>
      <c r="R2606">
        <f>IF(Q2606="","",IF(Q2606&gt;=60,"HIGH",IF(Q2606&gt;=30,"MEDIUM","LOW")))</f>
        <v/>
      </c>
    </row>
    <row r="2607">
      <c r="A2607" t="n">
        <v>2606</v>
      </c>
      <c r="R2607">
        <f>IF(Q2607="","",IF(Q2607&gt;=60,"HIGH",IF(Q2607&gt;=30,"MEDIUM","LOW")))</f>
        <v/>
      </c>
    </row>
    <row r="2608">
      <c r="A2608" t="n">
        <v>2607</v>
      </c>
      <c r="R2608">
        <f>IF(Q2608="","",IF(Q2608&gt;=60,"HIGH",IF(Q2608&gt;=30,"MEDIUM","LOW")))</f>
        <v/>
      </c>
    </row>
    <row r="2609">
      <c r="A2609" t="n">
        <v>2608</v>
      </c>
      <c r="R2609">
        <f>IF(Q2609="","",IF(Q2609&gt;=60,"HIGH",IF(Q2609&gt;=30,"MEDIUM","LOW")))</f>
        <v/>
      </c>
    </row>
    <row r="2610">
      <c r="A2610" t="n">
        <v>2609</v>
      </c>
      <c r="R2610">
        <f>IF(Q2610="","",IF(Q2610&gt;=60,"HIGH",IF(Q2610&gt;=30,"MEDIUM","LOW")))</f>
        <v/>
      </c>
    </row>
    <row r="2611">
      <c r="A2611" t="n">
        <v>2610</v>
      </c>
      <c r="R2611">
        <f>IF(Q2611="","",IF(Q2611&gt;=60,"HIGH",IF(Q2611&gt;=30,"MEDIUM","LOW")))</f>
        <v/>
      </c>
    </row>
    <row r="2612">
      <c r="A2612" t="n">
        <v>2611</v>
      </c>
      <c r="R2612">
        <f>IF(Q2612="","",IF(Q2612&gt;=60,"HIGH",IF(Q2612&gt;=30,"MEDIUM","LOW")))</f>
        <v/>
      </c>
    </row>
    <row r="2613">
      <c r="A2613" t="n">
        <v>2612</v>
      </c>
      <c r="R2613">
        <f>IF(Q2613="","",IF(Q2613&gt;=60,"HIGH",IF(Q2613&gt;=30,"MEDIUM","LOW")))</f>
        <v/>
      </c>
    </row>
    <row r="2614">
      <c r="A2614" t="n">
        <v>2613</v>
      </c>
      <c r="R2614">
        <f>IF(Q2614="","",IF(Q2614&gt;=60,"HIGH",IF(Q2614&gt;=30,"MEDIUM","LOW")))</f>
        <v/>
      </c>
    </row>
    <row r="2615">
      <c r="A2615" t="n">
        <v>2614</v>
      </c>
      <c r="R2615">
        <f>IF(Q2615="","",IF(Q2615&gt;=60,"HIGH",IF(Q2615&gt;=30,"MEDIUM","LOW")))</f>
        <v/>
      </c>
    </row>
    <row r="2616">
      <c r="A2616" t="n">
        <v>2615</v>
      </c>
      <c r="R2616">
        <f>IF(Q2616="","",IF(Q2616&gt;=60,"HIGH",IF(Q2616&gt;=30,"MEDIUM","LOW")))</f>
        <v/>
      </c>
    </row>
    <row r="2617">
      <c r="A2617" t="n">
        <v>2616</v>
      </c>
      <c r="R2617">
        <f>IF(Q2617="","",IF(Q2617&gt;=60,"HIGH",IF(Q2617&gt;=30,"MEDIUM","LOW")))</f>
        <v/>
      </c>
    </row>
    <row r="2618">
      <c r="A2618" t="n">
        <v>2617</v>
      </c>
      <c r="R2618">
        <f>IF(Q2618="","",IF(Q2618&gt;=60,"HIGH",IF(Q2618&gt;=30,"MEDIUM","LOW")))</f>
        <v/>
      </c>
    </row>
    <row r="2619">
      <c r="A2619" t="n">
        <v>2618</v>
      </c>
      <c r="R2619">
        <f>IF(Q2619="","",IF(Q2619&gt;=60,"HIGH",IF(Q2619&gt;=30,"MEDIUM","LOW")))</f>
        <v/>
      </c>
    </row>
    <row r="2620">
      <c r="A2620" t="n">
        <v>2619</v>
      </c>
      <c r="R2620">
        <f>IF(Q2620="","",IF(Q2620&gt;=60,"HIGH",IF(Q2620&gt;=30,"MEDIUM","LOW")))</f>
        <v/>
      </c>
    </row>
    <row r="2621">
      <c r="A2621" t="n">
        <v>2620</v>
      </c>
      <c r="R2621">
        <f>IF(Q2621="","",IF(Q2621&gt;=60,"HIGH",IF(Q2621&gt;=30,"MEDIUM","LOW")))</f>
        <v/>
      </c>
    </row>
    <row r="2622">
      <c r="A2622" t="n">
        <v>2621</v>
      </c>
      <c r="R2622">
        <f>IF(Q2622="","",IF(Q2622&gt;=60,"HIGH",IF(Q2622&gt;=30,"MEDIUM","LOW")))</f>
        <v/>
      </c>
    </row>
    <row r="2623">
      <c r="A2623" t="n">
        <v>2622</v>
      </c>
      <c r="R2623">
        <f>IF(Q2623="","",IF(Q2623&gt;=60,"HIGH",IF(Q2623&gt;=30,"MEDIUM","LOW")))</f>
        <v/>
      </c>
    </row>
    <row r="2624">
      <c r="A2624" t="n">
        <v>2623</v>
      </c>
      <c r="R2624">
        <f>IF(Q2624="","",IF(Q2624&gt;=60,"HIGH",IF(Q2624&gt;=30,"MEDIUM","LOW")))</f>
        <v/>
      </c>
    </row>
    <row r="2625">
      <c r="A2625" t="n">
        <v>2624</v>
      </c>
      <c r="R2625">
        <f>IF(Q2625="","",IF(Q2625&gt;=60,"HIGH",IF(Q2625&gt;=30,"MEDIUM","LOW")))</f>
        <v/>
      </c>
    </row>
    <row r="2626">
      <c r="A2626" t="n">
        <v>2625</v>
      </c>
      <c r="R2626">
        <f>IF(Q2626="","",IF(Q2626&gt;=60,"HIGH",IF(Q2626&gt;=30,"MEDIUM","LOW")))</f>
        <v/>
      </c>
    </row>
    <row r="2627">
      <c r="A2627" t="n">
        <v>2626</v>
      </c>
      <c r="R2627">
        <f>IF(Q2627="","",IF(Q2627&gt;=60,"HIGH",IF(Q2627&gt;=30,"MEDIUM","LOW")))</f>
        <v/>
      </c>
    </row>
    <row r="2628">
      <c r="A2628" t="n">
        <v>2627</v>
      </c>
      <c r="R2628">
        <f>IF(Q2628="","",IF(Q2628&gt;=60,"HIGH",IF(Q2628&gt;=30,"MEDIUM","LOW")))</f>
        <v/>
      </c>
    </row>
    <row r="2629">
      <c r="A2629" t="n">
        <v>2628</v>
      </c>
      <c r="R2629">
        <f>IF(Q2629="","",IF(Q2629&gt;=60,"HIGH",IF(Q2629&gt;=30,"MEDIUM","LOW")))</f>
        <v/>
      </c>
    </row>
    <row r="2630">
      <c r="A2630" t="n">
        <v>2629</v>
      </c>
      <c r="R2630">
        <f>IF(Q2630="","",IF(Q2630&gt;=60,"HIGH",IF(Q2630&gt;=30,"MEDIUM","LOW")))</f>
        <v/>
      </c>
    </row>
    <row r="2631">
      <c r="A2631" t="n">
        <v>2630</v>
      </c>
      <c r="R2631">
        <f>IF(Q2631="","",IF(Q2631&gt;=60,"HIGH",IF(Q2631&gt;=30,"MEDIUM","LOW")))</f>
        <v/>
      </c>
    </row>
    <row r="2632">
      <c r="A2632" t="n">
        <v>2631</v>
      </c>
      <c r="R2632">
        <f>IF(Q2632="","",IF(Q2632&gt;=60,"HIGH",IF(Q2632&gt;=30,"MEDIUM","LOW")))</f>
        <v/>
      </c>
    </row>
    <row r="2633">
      <c r="A2633" t="n">
        <v>2632</v>
      </c>
      <c r="R2633">
        <f>IF(Q2633="","",IF(Q2633&gt;=60,"HIGH",IF(Q2633&gt;=30,"MEDIUM","LOW")))</f>
        <v/>
      </c>
    </row>
    <row r="2634">
      <c r="A2634" t="n">
        <v>2633</v>
      </c>
      <c r="R2634">
        <f>IF(Q2634="","",IF(Q2634&gt;=60,"HIGH",IF(Q2634&gt;=30,"MEDIUM","LOW")))</f>
        <v/>
      </c>
    </row>
    <row r="2635">
      <c r="A2635" t="n">
        <v>2634</v>
      </c>
      <c r="R2635">
        <f>IF(Q2635="","",IF(Q2635&gt;=60,"HIGH",IF(Q2635&gt;=30,"MEDIUM","LOW")))</f>
        <v/>
      </c>
    </row>
    <row r="2636">
      <c r="A2636" t="n">
        <v>2635</v>
      </c>
      <c r="R2636">
        <f>IF(Q2636="","",IF(Q2636&gt;=60,"HIGH",IF(Q2636&gt;=30,"MEDIUM","LOW")))</f>
        <v/>
      </c>
    </row>
    <row r="2637">
      <c r="A2637" t="n">
        <v>2636</v>
      </c>
      <c r="R2637">
        <f>IF(Q2637="","",IF(Q2637&gt;=60,"HIGH",IF(Q2637&gt;=30,"MEDIUM","LOW")))</f>
        <v/>
      </c>
    </row>
    <row r="2638">
      <c r="A2638" t="n">
        <v>2637</v>
      </c>
      <c r="R2638">
        <f>IF(Q2638="","",IF(Q2638&gt;=60,"HIGH",IF(Q2638&gt;=30,"MEDIUM","LOW")))</f>
        <v/>
      </c>
    </row>
    <row r="2639">
      <c r="A2639" t="n">
        <v>2638</v>
      </c>
      <c r="R2639">
        <f>IF(Q2639="","",IF(Q2639&gt;=60,"HIGH",IF(Q2639&gt;=30,"MEDIUM","LOW")))</f>
        <v/>
      </c>
    </row>
    <row r="2640">
      <c r="A2640" t="n">
        <v>2639</v>
      </c>
      <c r="R2640">
        <f>IF(Q2640="","",IF(Q2640&gt;=60,"HIGH",IF(Q2640&gt;=30,"MEDIUM","LOW")))</f>
        <v/>
      </c>
    </row>
    <row r="2641">
      <c r="A2641" t="n">
        <v>2640</v>
      </c>
      <c r="R2641">
        <f>IF(Q2641="","",IF(Q2641&gt;=60,"HIGH",IF(Q2641&gt;=30,"MEDIUM","LOW")))</f>
        <v/>
      </c>
    </row>
    <row r="2642">
      <c r="A2642" t="n">
        <v>2641</v>
      </c>
      <c r="R2642">
        <f>IF(Q2642="","",IF(Q2642&gt;=60,"HIGH",IF(Q2642&gt;=30,"MEDIUM","LOW")))</f>
        <v/>
      </c>
    </row>
    <row r="2643">
      <c r="A2643" t="n">
        <v>2642</v>
      </c>
      <c r="R2643">
        <f>IF(Q2643="","",IF(Q2643&gt;=60,"HIGH",IF(Q2643&gt;=30,"MEDIUM","LOW")))</f>
        <v/>
      </c>
    </row>
    <row r="2644">
      <c r="A2644" t="n">
        <v>2643</v>
      </c>
      <c r="R2644">
        <f>IF(Q2644="","",IF(Q2644&gt;=60,"HIGH",IF(Q2644&gt;=30,"MEDIUM","LOW")))</f>
        <v/>
      </c>
    </row>
    <row r="2645">
      <c r="A2645" t="n">
        <v>2644</v>
      </c>
      <c r="R2645">
        <f>IF(Q2645="","",IF(Q2645&gt;=60,"HIGH",IF(Q2645&gt;=30,"MEDIUM","LOW")))</f>
        <v/>
      </c>
    </row>
    <row r="2646">
      <c r="A2646" t="n">
        <v>2645</v>
      </c>
      <c r="R2646">
        <f>IF(Q2646="","",IF(Q2646&gt;=60,"HIGH",IF(Q2646&gt;=30,"MEDIUM","LOW")))</f>
        <v/>
      </c>
    </row>
    <row r="2647">
      <c r="A2647" t="n">
        <v>2646</v>
      </c>
      <c r="R2647">
        <f>IF(Q2647="","",IF(Q2647&gt;=60,"HIGH",IF(Q2647&gt;=30,"MEDIUM","LOW")))</f>
        <v/>
      </c>
    </row>
    <row r="2648">
      <c r="A2648" t="n">
        <v>2647</v>
      </c>
      <c r="R2648">
        <f>IF(Q2648="","",IF(Q2648&gt;=60,"HIGH",IF(Q2648&gt;=30,"MEDIUM","LOW")))</f>
        <v/>
      </c>
    </row>
    <row r="2649">
      <c r="A2649" t="n">
        <v>2648</v>
      </c>
      <c r="R2649">
        <f>IF(Q2649="","",IF(Q2649&gt;=60,"HIGH",IF(Q2649&gt;=30,"MEDIUM","LOW")))</f>
        <v/>
      </c>
    </row>
    <row r="2650">
      <c r="A2650" t="n">
        <v>2649</v>
      </c>
      <c r="R2650">
        <f>IF(Q2650="","",IF(Q2650&gt;=60,"HIGH",IF(Q2650&gt;=30,"MEDIUM","LOW")))</f>
        <v/>
      </c>
    </row>
    <row r="2651">
      <c r="A2651" t="n">
        <v>2650</v>
      </c>
      <c r="R2651">
        <f>IF(Q2651="","",IF(Q2651&gt;=60,"HIGH",IF(Q2651&gt;=30,"MEDIUM","LOW")))</f>
        <v/>
      </c>
    </row>
    <row r="2652">
      <c r="A2652" t="n">
        <v>2651</v>
      </c>
      <c r="R2652">
        <f>IF(Q2652="","",IF(Q2652&gt;=60,"HIGH",IF(Q2652&gt;=30,"MEDIUM","LOW")))</f>
        <v/>
      </c>
    </row>
    <row r="2653">
      <c r="A2653" t="n">
        <v>2652</v>
      </c>
      <c r="R2653">
        <f>IF(Q2653="","",IF(Q2653&gt;=60,"HIGH",IF(Q2653&gt;=30,"MEDIUM","LOW")))</f>
        <v/>
      </c>
    </row>
    <row r="2654">
      <c r="A2654" t="n">
        <v>2653</v>
      </c>
      <c r="R2654">
        <f>IF(Q2654="","",IF(Q2654&gt;=60,"HIGH",IF(Q2654&gt;=30,"MEDIUM","LOW")))</f>
        <v/>
      </c>
    </row>
    <row r="2655">
      <c r="A2655" t="n">
        <v>2654</v>
      </c>
      <c r="R2655">
        <f>IF(Q2655="","",IF(Q2655&gt;=60,"HIGH",IF(Q2655&gt;=30,"MEDIUM","LOW")))</f>
        <v/>
      </c>
    </row>
    <row r="2656">
      <c r="A2656" t="n">
        <v>2655</v>
      </c>
      <c r="R2656">
        <f>IF(Q2656="","",IF(Q2656&gt;=60,"HIGH",IF(Q2656&gt;=30,"MEDIUM","LOW")))</f>
        <v/>
      </c>
    </row>
    <row r="2657">
      <c r="A2657" t="n">
        <v>2656</v>
      </c>
      <c r="R2657">
        <f>IF(Q2657="","",IF(Q2657&gt;=60,"HIGH",IF(Q2657&gt;=30,"MEDIUM","LOW")))</f>
        <v/>
      </c>
    </row>
    <row r="2658">
      <c r="A2658" t="n">
        <v>2657</v>
      </c>
      <c r="R2658">
        <f>IF(Q2658="","",IF(Q2658&gt;=60,"HIGH",IF(Q2658&gt;=30,"MEDIUM","LOW")))</f>
        <v/>
      </c>
    </row>
    <row r="2659">
      <c r="A2659" t="n">
        <v>2658</v>
      </c>
      <c r="R2659">
        <f>IF(Q2659="","",IF(Q2659&gt;=60,"HIGH",IF(Q2659&gt;=30,"MEDIUM","LOW")))</f>
        <v/>
      </c>
    </row>
    <row r="2660">
      <c r="A2660" t="n">
        <v>2659</v>
      </c>
      <c r="R2660">
        <f>IF(Q2660="","",IF(Q2660&gt;=60,"HIGH",IF(Q2660&gt;=30,"MEDIUM","LOW")))</f>
        <v/>
      </c>
    </row>
    <row r="2661">
      <c r="A2661" t="n">
        <v>2660</v>
      </c>
      <c r="R2661">
        <f>IF(Q2661="","",IF(Q2661&gt;=60,"HIGH",IF(Q2661&gt;=30,"MEDIUM","LOW")))</f>
        <v/>
      </c>
    </row>
    <row r="2662">
      <c r="A2662" t="n">
        <v>2661</v>
      </c>
      <c r="R2662">
        <f>IF(Q2662="","",IF(Q2662&gt;=60,"HIGH",IF(Q2662&gt;=30,"MEDIUM","LOW")))</f>
        <v/>
      </c>
    </row>
    <row r="2663">
      <c r="A2663" t="n">
        <v>2662</v>
      </c>
      <c r="R2663">
        <f>IF(Q2663="","",IF(Q2663&gt;=60,"HIGH",IF(Q2663&gt;=30,"MEDIUM","LOW")))</f>
        <v/>
      </c>
    </row>
    <row r="2664">
      <c r="A2664" t="n">
        <v>2663</v>
      </c>
      <c r="R2664">
        <f>IF(Q2664="","",IF(Q2664&gt;=60,"HIGH",IF(Q2664&gt;=30,"MEDIUM","LOW")))</f>
        <v/>
      </c>
    </row>
    <row r="2665">
      <c r="A2665" t="n">
        <v>2664</v>
      </c>
      <c r="R2665">
        <f>IF(Q2665="","",IF(Q2665&gt;=60,"HIGH",IF(Q2665&gt;=30,"MEDIUM","LOW")))</f>
        <v/>
      </c>
    </row>
    <row r="2666">
      <c r="A2666" t="n">
        <v>2665</v>
      </c>
      <c r="R2666">
        <f>IF(Q2666="","",IF(Q2666&gt;=60,"HIGH",IF(Q2666&gt;=30,"MEDIUM","LOW")))</f>
        <v/>
      </c>
    </row>
    <row r="2667">
      <c r="A2667" t="n">
        <v>2666</v>
      </c>
      <c r="R2667">
        <f>IF(Q2667="","",IF(Q2667&gt;=60,"HIGH",IF(Q2667&gt;=30,"MEDIUM","LOW")))</f>
        <v/>
      </c>
    </row>
    <row r="2668">
      <c r="A2668" t="n">
        <v>2667</v>
      </c>
      <c r="R2668">
        <f>IF(Q2668="","",IF(Q2668&gt;=60,"HIGH",IF(Q2668&gt;=30,"MEDIUM","LOW")))</f>
        <v/>
      </c>
    </row>
    <row r="2669">
      <c r="A2669" t="n">
        <v>2668</v>
      </c>
      <c r="R2669">
        <f>IF(Q2669="","",IF(Q2669&gt;=60,"HIGH",IF(Q2669&gt;=30,"MEDIUM","LOW")))</f>
        <v/>
      </c>
    </row>
    <row r="2670">
      <c r="A2670" t="n">
        <v>2669</v>
      </c>
      <c r="R2670">
        <f>IF(Q2670="","",IF(Q2670&gt;=60,"HIGH",IF(Q2670&gt;=30,"MEDIUM","LOW")))</f>
        <v/>
      </c>
    </row>
    <row r="2671">
      <c r="A2671" t="n">
        <v>2670</v>
      </c>
      <c r="R2671">
        <f>IF(Q2671="","",IF(Q2671&gt;=60,"HIGH",IF(Q2671&gt;=30,"MEDIUM","LOW")))</f>
        <v/>
      </c>
    </row>
    <row r="2672">
      <c r="A2672" t="n">
        <v>2671</v>
      </c>
      <c r="R2672">
        <f>IF(Q2672="","",IF(Q2672&gt;=60,"HIGH",IF(Q2672&gt;=30,"MEDIUM","LOW")))</f>
        <v/>
      </c>
    </row>
    <row r="2673">
      <c r="A2673" t="n">
        <v>2672</v>
      </c>
      <c r="R2673">
        <f>IF(Q2673="","",IF(Q2673&gt;=60,"HIGH",IF(Q2673&gt;=30,"MEDIUM","LOW")))</f>
        <v/>
      </c>
    </row>
    <row r="2674">
      <c r="A2674" t="n">
        <v>2673</v>
      </c>
      <c r="R2674">
        <f>IF(Q2674="","",IF(Q2674&gt;=60,"HIGH",IF(Q2674&gt;=30,"MEDIUM","LOW")))</f>
        <v/>
      </c>
    </row>
    <row r="2675">
      <c r="A2675" t="n">
        <v>2674</v>
      </c>
      <c r="R2675">
        <f>IF(Q2675="","",IF(Q2675&gt;=60,"HIGH",IF(Q2675&gt;=30,"MEDIUM","LOW")))</f>
        <v/>
      </c>
    </row>
    <row r="2676">
      <c r="A2676" t="n">
        <v>2675</v>
      </c>
      <c r="R2676">
        <f>IF(Q2676="","",IF(Q2676&gt;=60,"HIGH",IF(Q2676&gt;=30,"MEDIUM","LOW")))</f>
        <v/>
      </c>
    </row>
    <row r="2677">
      <c r="A2677" t="n">
        <v>2676</v>
      </c>
      <c r="R2677">
        <f>IF(Q2677="","",IF(Q2677&gt;=60,"HIGH",IF(Q2677&gt;=30,"MEDIUM","LOW")))</f>
        <v/>
      </c>
    </row>
    <row r="2678">
      <c r="A2678" t="n">
        <v>2677</v>
      </c>
      <c r="R2678">
        <f>IF(Q2678="","",IF(Q2678&gt;=60,"HIGH",IF(Q2678&gt;=30,"MEDIUM","LOW")))</f>
        <v/>
      </c>
    </row>
    <row r="2679">
      <c r="A2679" t="n">
        <v>2678</v>
      </c>
      <c r="R2679">
        <f>IF(Q2679="","",IF(Q2679&gt;=60,"HIGH",IF(Q2679&gt;=30,"MEDIUM","LOW")))</f>
        <v/>
      </c>
    </row>
    <row r="2680">
      <c r="A2680" t="n">
        <v>2679</v>
      </c>
      <c r="R2680">
        <f>IF(Q2680="","",IF(Q2680&gt;=60,"HIGH",IF(Q2680&gt;=30,"MEDIUM","LOW")))</f>
        <v/>
      </c>
    </row>
    <row r="2681">
      <c r="A2681" t="n">
        <v>2680</v>
      </c>
      <c r="R2681">
        <f>IF(Q2681="","",IF(Q2681&gt;=60,"HIGH",IF(Q2681&gt;=30,"MEDIUM","LOW")))</f>
        <v/>
      </c>
    </row>
    <row r="2682">
      <c r="A2682" t="n">
        <v>2681</v>
      </c>
      <c r="R2682">
        <f>IF(Q2682="","",IF(Q2682&gt;=60,"HIGH",IF(Q2682&gt;=30,"MEDIUM","LOW")))</f>
        <v/>
      </c>
    </row>
    <row r="2683">
      <c r="A2683" t="n">
        <v>2682</v>
      </c>
      <c r="R2683">
        <f>IF(Q2683="","",IF(Q2683&gt;=60,"HIGH",IF(Q2683&gt;=30,"MEDIUM","LOW")))</f>
        <v/>
      </c>
    </row>
    <row r="2684">
      <c r="A2684" t="n">
        <v>2683</v>
      </c>
      <c r="R2684">
        <f>IF(Q2684="","",IF(Q2684&gt;=60,"HIGH",IF(Q2684&gt;=30,"MEDIUM","LOW")))</f>
        <v/>
      </c>
    </row>
    <row r="2685">
      <c r="A2685" t="n">
        <v>2684</v>
      </c>
      <c r="R2685">
        <f>IF(Q2685="","",IF(Q2685&gt;=60,"HIGH",IF(Q2685&gt;=30,"MEDIUM","LOW")))</f>
        <v/>
      </c>
    </row>
    <row r="2686">
      <c r="A2686" t="n">
        <v>2685</v>
      </c>
      <c r="R2686">
        <f>IF(Q2686="","",IF(Q2686&gt;=60,"HIGH",IF(Q2686&gt;=30,"MEDIUM","LOW")))</f>
        <v/>
      </c>
    </row>
    <row r="2687">
      <c r="A2687" t="n">
        <v>2686</v>
      </c>
      <c r="R2687">
        <f>IF(Q2687="","",IF(Q2687&gt;=60,"HIGH",IF(Q2687&gt;=30,"MEDIUM","LOW")))</f>
        <v/>
      </c>
    </row>
    <row r="2688">
      <c r="A2688" t="n">
        <v>2687</v>
      </c>
      <c r="R2688">
        <f>IF(Q2688="","",IF(Q2688&gt;=60,"HIGH",IF(Q2688&gt;=30,"MEDIUM","LOW")))</f>
        <v/>
      </c>
    </row>
    <row r="2689">
      <c r="A2689" t="n">
        <v>2688</v>
      </c>
      <c r="R2689">
        <f>IF(Q2689="","",IF(Q2689&gt;=60,"HIGH",IF(Q2689&gt;=30,"MEDIUM","LOW")))</f>
        <v/>
      </c>
    </row>
    <row r="2690">
      <c r="A2690" t="n">
        <v>2689</v>
      </c>
      <c r="R2690">
        <f>IF(Q2690="","",IF(Q2690&gt;=60,"HIGH",IF(Q2690&gt;=30,"MEDIUM","LOW")))</f>
        <v/>
      </c>
    </row>
    <row r="2691">
      <c r="A2691" t="n">
        <v>2690</v>
      </c>
      <c r="R2691">
        <f>IF(Q2691="","",IF(Q2691&gt;=60,"HIGH",IF(Q2691&gt;=30,"MEDIUM","LOW")))</f>
        <v/>
      </c>
    </row>
    <row r="2692">
      <c r="A2692" t="n">
        <v>2691</v>
      </c>
      <c r="R2692">
        <f>IF(Q2692="","",IF(Q2692&gt;=60,"HIGH",IF(Q2692&gt;=30,"MEDIUM","LOW")))</f>
        <v/>
      </c>
    </row>
    <row r="2693">
      <c r="A2693" t="n">
        <v>2692</v>
      </c>
      <c r="R2693">
        <f>IF(Q2693="","",IF(Q2693&gt;=60,"HIGH",IF(Q2693&gt;=30,"MEDIUM","LOW")))</f>
        <v/>
      </c>
    </row>
    <row r="2694">
      <c r="A2694" t="n">
        <v>2693</v>
      </c>
      <c r="R2694">
        <f>IF(Q2694="","",IF(Q2694&gt;=60,"HIGH",IF(Q2694&gt;=30,"MEDIUM","LOW")))</f>
        <v/>
      </c>
    </row>
    <row r="2695">
      <c r="A2695" t="n">
        <v>2694</v>
      </c>
      <c r="R2695">
        <f>IF(Q2695="","",IF(Q2695&gt;=60,"HIGH",IF(Q2695&gt;=30,"MEDIUM","LOW")))</f>
        <v/>
      </c>
    </row>
    <row r="2696">
      <c r="A2696" t="n">
        <v>2695</v>
      </c>
      <c r="R2696">
        <f>IF(Q2696="","",IF(Q2696&gt;=60,"HIGH",IF(Q2696&gt;=30,"MEDIUM","LOW")))</f>
        <v/>
      </c>
    </row>
    <row r="2697">
      <c r="A2697" t="n">
        <v>2696</v>
      </c>
      <c r="R2697">
        <f>IF(Q2697="","",IF(Q2697&gt;=60,"HIGH",IF(Q2697&gt;=30,"MEDIUM","LOW")))</f>
        <v/>
      </c>
    </row>
    <row r="2698">
      <c r="A2698" t="n">
        <v>2697</v>
      </c>
      <c r="R2698">
        <f>IF(Q2698="","",IF(Q2698&gt;=60,"HIGH",IF(Q2698&gt;=30,"MEDIUM","LOW")))</f>
        <v/>
      </c>
    </row>
    <row r="2699">
      <c r="A2699" t="n">
        <v>2698</v>
      </c>
      <c r="R2699">
        <f>IF(Q2699="","",IF(Q2699&gt;=60,"HIGH",IF(Q2699&gt;=30,"MEDIUM","LOW")))</f>
        <v/>
      </c>
    </row>
    <row r="2700">
      <c r="A2700" t="n">
        <v>2699</v>
      </c>
      <c r="R2700">
        <f>IF(Q2700="","",IF(Q2700&gt;=60,"HIGH",IF(Q2700&gt;=30,"MEDIUM","LOW")))</f>
        <v/>
      </c>
    </row>
    <row r="2701">
      <c r="A2701" t="n">
        <v>2700</v>
      </c>
      <c r="R2701">
        <f>IF(Q2701="","",IF(Q2701&gt;=60,"HIGH",IF(Q2701&gt;=30,"MEDIUM","LOW")))</f>
        <v/>
      </c>
    </row>
    <row r="2702">
      <c r="A2702" t="n">
        <v>2701</v>
      </c>
      <c r="R2702">
        <f>IF(Q2702="","",IF(Q2702&gt;=60,"HIGH",IF(Q2702&gt;=30,"MEDIUM","LOW")))</f>
        <v/>
      </c>
    </row>
    <row r="2703">
      <c r="A2703" t="n">
        <v>2702</v>
      </c>
      <c r="R2703">
        <f>IF(Q2703="","",IF(Q2703&gt;=60,"HIGH",IF(Q2703&gt;=30,"MEDIUM","LOW")))</f>
        <v/>
      </c>
    </row>
    <row r="2704">
      <c r="A2704" t="n">
        <v>2703</v>
      </c>
      <c r="R2704">
        <f>IF(Q2704="","",IF(Q2704&gt;=60,"HIGH",IF(Q2704&gt;=30,"MEDIUM","LOW")))</f>
        <v/>
      </c>
    </row>
    <row r="2705">
      <c r="A2705" t="n">
        <v>2704</v>
      </c>
      <c r="R2705">
        <f>IF(Q2705="","",IF(Q2705&gt;=60,"HIGH",IF(Q2705&gt;=30,"MEDIUM","LOW")))</f>
        <v/>
      </c>
    </row>
    <row r="2706">
      <c r="A2706" t="n">
        <v>2705</v>
      </c>
      <c r="R2706">
        <f>IF(Q2706="","",IF(Q2706&gt;=60,"HIGH",IF(Q2706&gt;=30,"MEDIUM","LOW")))</f>
        <v/>
      </c>
    </row>
    <row r="2707">
      <c r="A2707" t="n">
        <v>2706</v>
      </c>
      <c r="R2707">
        <f>IF(Q2707="","",IF(Q2707&gt;=60,"HIGH",IF(Q2707&gt;=30,"MEDIUM","LOW")))</f>
        <v/>
      </c>
    </row>
    <row r="2708">
      <c r="A2708" t="n">
        <v>2707</v>
      </c>
      <c r="R2708">
        <f>IF(Q2708="","",IF(Q2708&gt;=60,"HIGH",IF(Q2708&gt;=30,"MEDIUM","LOW")))</f>
        <v/>
      </c>
    </row>
    <row r="2709">
      <c r="A2709" t="n">
        <v>2708</v>
      </c>
      <c r="R2709">
        <f>IF(Q2709="","",IF(Q2709&gt;=60,"HIGH",IF(Q2709&gt;=30,"MEDIUM","LOW")))</f>
        <v/>
      </c>
    </row>
    <row r="2710">
      <c r="A2710" t="n">
        <v>2709</v>
      </c>
      <c r="R2710">
        <f>IF(Q2710="","",IF(Q2710&gt;=60,"HIGH",IF(Q2710&gt;=30,"MEDIUM","LOW")))</f>
        <v/>
      </c>
    </row>
    <row r="2711">
      <c r="A2711" t="n">
        <v>2710</v>
      </c>
      <c r="R2711">
        <f>IF(Q2711="","",IF(Q2711&gt;=60,"HIGH",IF(Q2711&gt;=30,"MEDIUM","LOW")))</f>
        <v/>
      </c>
    </row>
    <row r="2712">
      <c r="A2712" t="n">
        <v>2711</v>
      </c>
      <c r="R2712">
        <f>IF(Q2712="","",IF(Q2712&gt;=60,"HIGH",IF(Q2712&gt;=30,"MEDIUM","LOW")))</f>
        <v/>
      </c>
    </row>
    <row r="2713">
      <c r="A2713" t="n">
        <v>2712</v>
      </c>
      <c r="R2713">
        <f>IF(Q2713="","",IF(Q2713&gt;=60,"HIGH",IF(Q2713&gt;=30,"MEDIUM","LOW")))</f>
        <v/>
      </c>
    </row>
    <row r="2714">
      <c r="A2714" t="n">
        <v>2713</v>
      </c>
      <c r="R2714">
        <f>IF(Q2714="","",IF(Q2714&gt;=60,"HIGH",IF(Q2714&gt;=30,"MEDIUM","LOW")))</f>
        <v/>
      </c>
    </row>
    <row r="2715">
      <c r="A2715" t="n">
        <v>2714</v>
      </c>
      <c r="R2715">
        <f>IF(Q2715="","",IF(Q2715&gt;=60,"HIGH",IF(Q2715&gt;=30,"MEDIUM","LOW")))</f>
        <v/>
      </c>
    </row>
    <row r="2716">
      <c r="A2716" t="n">
        <v>2715</v>
      </c>
      <c r="R2716">
        <f>IF(Q2716="","",IF(Q2716&gt;=60,"HIGH",IF(Q2716&gt;=30,"MEDIUM","LOW")))</f>
        <v/>
      </c>
    </row>
    <row r="2717">
      <c r="A2717" t="n">
        <v>2716</v>
      </c>
      <c r="R2717">
        <f>IF(Q2717="","",IF(Q2717&gt;=60,"HIGH",IF(Q2717&gt;=30,"MEDIUM","LOW")))</f>
        <v/>
      </c>
    </row>
    <row r="2718">
      <c r="A2718" t="n">
        <v>2717</v>
      </c>
      <c r="R2718">
        <f>IF(Q2718="","",IF(Q2718&gt;=60,"HIGH",IF(Q2718&gt;=30,"MEDIUM","LOW")))</f>
        <v/>
      </c>
    </row>
    <row r="2719">
      <c r="A2719" t="n">
        <v>2718</v>
      </c>
      <c r="R2719">
        <f>IF(Q2719="","",IF(Q2719&gt;=60,"HIGH",IF(Q2719&gt;=30,"MEDIUM","LOW")))</f>
        <v/>
      </c>
    </row>
    <row r="2720">
      <c r="A2720" t="n">
        <v>2719</v>
      </c>
      <c r="R2720">
        <f>IF(Q2720="","",IF(Q2720&gt;=60,"HIGH",IF(Q2720&gt;=30,"MEDIUM","LOW")))</f>
        <v/>
      </c>
    </row>
    <row r="2721">
      <c r="A2721" t="n">
        <v>2720</v>
      </c>
      <c r="R2721">
        <f>IF(Q2721="","",IF(Q2721&gt;=60,"HIGH",IF(Q2721&gt;=30,"MEDIUM","LOW")))</f>
        <v/>
      </c>
    </row>
    <row r="2722">
      <c r="A2722" t="n">
        <v>2721</v>
      </c>
      <c r="R2722">
        <f>IF(Q2722="","",IF(Q2722&gt;=60,"HIGH",IF(Q2722&gt;=30,"MEDIUM","LOW")))</f>
        <v/>
      </c>
    </row>
    <row r="2723">
      <c r="A2723" t="n">
        <v>2722</v>
      </c>
      <c r="R2723">
        <f>IF(Q2723="","",IF(Q2723&gt;=60,"HIGH",IF(Q2723&gt;=30,"MEDIUM","LOW")))</f>
        <v/>
      </c>
    </row>
    <row r="2724">
      <c r="A2724" t="n">
        <v>2723</v>
      </c>
      <c r="R2724">
        <f>IF(Q2724="","",IF(Q2724&gt;=60,"HIGH",IF(Q2724&gt;=30,"MEDIUM","LOW")))</f>
        <v/>
      </c>
    </row>
    <row r="2725">
      <c r="A2725" t="n">
        <v>2724</v>
      </c>
      <c r="R2725">
        <f>IF(Q2725="","",IF(Q2725&gt;=60,"HIGH",IF(Q2725&gt;=30,"MEDIUM","LOW")))</f>
        <v/>
      </c>
    </row>
    <row r="2726">
      <c r="A2726" t="n">
        <v>2725</v>
      </c>
      <c r="R2726">
        <f>IF(Q2726="","",IF(Q2726&gt;=60,"HIGH",IF(Q2726&gt;=30,"MEDIUM","LOW")))</f>
        <v/>
      </c>
    </row>
    <row r="2727">
      <c r="A2727" t="n">
        <v>2726</v>
      </c>
      <c r="R2727">
        <f>IF(Q2727="","",IF(Q2727&gt;=60,"HIGH",IF(Q2727&gt;=30,"MEDIUM","LOW")))</f>
        <v/>
      </c>
    </row>
    <row r="2728">
      <c r="A2728" t="n">
        <v>2727</v>
      </c>
      <c r="R2728">
        <f>IF(Q2728="","",IF(Q2728&gt;=60,"HIGH",IF(Q2728&gt;=30,"MEDIUM","LOW")))</f>
        <v/>
      </c>
    </row>
    <row r="2729">
      <c r="A2729" t="n">
        <v>2728</v>
      </c>
      <c r="R2729">
        <f>IF(Q2729="","",IF(Q2729&gt;=60,"HIGH",IF(Q2729&gt;=30,"MEDIUM","LOW")))</f>
        <v/>
      </c>
    </row>
    <row r="2730">
      <c r="A2730" t="n">
        <v>2729</v>
      </c>
      <c r="R2730">
        <f>IF(Q2730="","",IF(Q2730&gt;=60,"HIGH",IF(Q2730&gt;=30,"MEDIUM","LOW")))</f>
        <v/>
      </c>
    </row>
    <row r="2731">
      <c r="A2731" t="n">
        <v>2730</v>
      </c>
      <c r="R2731">
        <f>IF(Q2731="","",IF(Q2731&gt;=60,"HIGH",IF(Q2731&gt;=30,"MEDIUM","LOW")))</f>
        <v/>
      </c>
    </row>
    <row r="2732">
      <c r="A2732" t="n">
        <v>2731</v>
      </c>
      <c r="R2732">
        <f>IF(Q2732="","",IF(Q2732&gt;=60,"HIGH",IF(Q2732&gt;=30,"MEDIUM","LOW")))</f>
        <v/>
      </c>
    </row>
    <row r="2733">
      <c r="A2733" t="n">
        <v>2732</v>
      </c>
      <c r="R2733">
        <f>IF(Q2733="","",IF(Q2733&gt;=60,"HIGH",IF(Q2733&gt;=30,"MEDIUM","LOW")))</f>
        <v/>
      </c>
    </row>
    <row r="2734">
      <c r="A2734" t="n">
        <v>2733</v>
      </c>
      <c r="R2734">
        <f>IF(Q2734="","",IF(Q2734&gt;=60,"HIGH",IF(Q2734&gt;=30,"MEDIUM","LOW")))</f>
        <v/>
      </c>
    </row>
    <row r="2735">
      <c r="A2735" t="n">
        <v>2734</v>
      </c>
      <c r="R2735">
        <f>IF(Q2735="","",IF(Q2735&gt;=60,"HIGH",IF(Q2735&gt;=30,"MEDIUM","LOW")))</f>
        <v/>
      </c>
    </row>
    <row r="2736">
      <c r="A2736" t="n">
        <v>2735</v>
      </c>
      <c r="R2736">
        <f>IF(Q2736="","",IF(Q2736&gt;=60,"HIGH",IF(Q2736&gt;=30,"MEDIUM","LOW")))</f>
        <v/>
      </c>
    </row>
    <row r="2737">
      <c r="A2737" t="n">
        <v>2736</v>
      </c>
      <c r="R2737">
        <f>IF(Q2737="","",IF(Q2737&gt;=60,"HIGH",IF(Q2737&gt;=30,"MEDIUM","LOW")))</f>
        <v/>
      </c>
    </row>
    <row r="2738">
      <c r="A2738" t="n">
        <v>2737</v>
      </c>
      <c r="R2738">
        <f>IF(Q2738="","",IF(Q2738&gt;=60,"HIGH",IF(Q2738&gt;=30,"MEDIUM","LOW")))</f>
        <v/>
      </c>
    </row>
    <row r="2739">
      <c r="A2739" t="n">
        <v>2738</v>
      </c>
      <c r="R2739">
        <f>IF(Q2739="","",IF(Q2739&gt;=60,"HIGH",IF(Q2739&gt;=30,"MEDIUM","LOW")))</f>
        <v/>
      </c>
    </row>
    <row r="2740">
      <c r="A2740" t="n">
        <v>2739</v>
      </c>
      <c r="R2740">
        <f>IF(Q2740="","",IF(Q2740&gt;=60,"HIGH",IF(Q2740&gt;=30,"MEDIUM","LOW")))</f>
        <v/>
      </c>
    </row>
    <row r="2741">
      <c r="A2741" t="n">
        <v>2740</v>
      </c>
      <c r="R2741">
        <f>IF(Q2741="","",IF(Q2741&gt;=60,"HIGH",IF(Q2741&gt;=30,"MEDIUM","LOW")))</f>
        <v/>
      </c>
    </row>
    <row r="2742">
      <c r="A2742" t="n">
        <v>2741</v>
      </c>
      <c r="R2742">
        <f>IF(Q2742="","",IF(Q2742&gt;=60,"HIGH",IF(Q2742&gt;=30,"MEDIUM","LOW")))</f>
        <v/>
      </c>
    </row>
    <row r="2743">
      <c r="A2743" t="n">
        <v>2742</v>
      </c>
      <c r="R2743">
        <f>IF(Q2743="","",IF(Q2743&gt;=60,"HIGH",IF(Q2743&gt;=30,"MEDIUM","LOW")))</f>
        <v/>
      </c>
    </row>
    <row r="2744">
      <c r="A2744" t="n">
        <v>2743</v>
      </c>
      <c r="R2744">
        <f>IF(Q2744="","",IF(Q2744&gt;=60,"HIGH",IF(Q2744&gt;=30,"MEDIUM","LOW")))</f>
        <v/>
      </c>
    </row>
    <row r="2745">
      <c r="A2745" t="n">
        <v>2744</v>
      </c>
      <c r="R2745">
        <f>IF(Q2745="","",IF(Q2745&gt;=60,"HIGH",IF(Q2745&gt;=30,"MEDIUM","LOW")))</f>
        <v/>
      </c>
    </row>
    <row r="2746">
      <c r="A2746" t="n">
        <v>2745</v>
      </c>
      <c r="R2746">
        <f>IF(Q2746="","",IF(Q2746&gt;=60,"HIGH",IF(Q2746&gt;=30,"MEDIUM","LOW")))</f>
        <v/>
      </c>
    </row>
    <row r="2747">
      <c r="A2747" t="n">
        <v>2746</v>
      </c>
      <c r="R2747">
        <f>IF(Q2747="","",IF(Q2747&gt;=60,"HIGH",IF(Q2747&gt;=30,"MEDIUM","LOW")))</f>
        <v/>
      </c>
    </row>
    <row r="2748">
      <c r="A2748" t="n">
        <v>2747</v>
      </c>
      <c r="R2748">
        <f>IF(Q2748="","",IF(Q2748&gt;=60,"HIGH",IF(Q2748&gt;=30,"MEDIUM","LOW")))</f>
        <v/>
      </c>
    </row>
    <row r="2749">
      <c r="A2749" t="n">
        <v>2748</v>
      </c>
      <c r="R2749">
        <f>IF(Q2749="","",IF(Q2749&gt;=60,"HIGH",IF(Q2749&gt;=30,"MEDIUM","LOW")))</f>
        <v/>
      </c>
    </row>
    <row r="2750">
      <c r="A2750" t="n">
        <v>2749</v>
      </c>
      <c r="R2750">
        <f>IF(Q2750="","",IF(Q2750&gt;=60,"HIGH",IF(Q2750&gt;=30,"MEDIUM","LOW")))</f>
        <v/>
      </c>
    </row>
    <row r="2751">
      <c r="A2751" t="n">
        <v>2750</v>
      </c>
      <c r="R2751">
        <f>IF(Q2751="","",IF(Q2751&gt;=60,"HIGH",IF(Q2751&gt;=30,"MEDIUM","LOW")))</f>
        <v/>
      </c>
    </row>
    <row r="2752">
      <c r="A2752" t="n">
        <v>2751</v>
      </c>
      <c r="R2752">
        <f>IF(Q2752="","",IF(Q2752&gt;=60,"HIGH",IF(Q2752&gt;=30,"MEDIUM","LOW")))</f>
        <v/>
      </c>
    </row>
    <row r="2753">
      <c r="A2753" t="n">
        <v>2752</v>
      </c>
      <c r="R2753">
        <f>IF(Q2753="","",IF(Q2753&gt;=60,"HIGH",IF(Q2753&gt;=30,"MEDIUM","LOW")))</f>
        <v/>
      </c>
    </row>
    <row r="2754">
      <c r="A2754" t="n">
        <v>2753</v>
      </c>
      <c r="R2754">
        <f>IF(Q2754="","",IF(Q2754&gt;=60,"HIGH",IF(Q2754&gt;=30,"MEDIUM","LOW")))</f>
        <v/>
      </c>
    </row>
    <row r="2755">
      <c r="A2755" t="n">
        <v>2754</v>
      </c>
      <c r="R2755">
        <f>IF(Q2755="","",IF(Q2755&gt;=60,"HIGH",IF(Q2755&gt;=30,"MEDIUM","LOW")))</f>
        <v/>
      </c>
    </row>
    <row r="2756">
      <c r="A2756" t="n">
        <v>2755</v>
      </c>
      <c r="R2756">
        <f>IF(Q2756="","",IF(Q2756&gt;=60,"HIGH",IF(Q2756&gt;=30,"MEDIUM","LOW")))</f>
        <v/>
      </c>
    </row>
    <row r="2757">
      <c r="A2757" t="n">
        <v>2756</v>
      </c>
      <c r="R2757">
        <f>IF(Q2757="","",IF(Q2757&gt;=60,"HIGH",IF(Q2757&gt;=30,"MEDIUM","LOW")))</f>
        <v/>
      </c>
    </row>
    <row r="2758">
      <c r="A2758" t="n">
        <v>2757</v>
      </c>
      <c r="R2758">
        <f>IF(Q2758="","",IF(Q2758&gt;=60,"HIGH",IF(Q2758&gt;=30,"MEDIUM","LOW")))</f>
        <v/>
      </c>
    </row>
    <row r="2759">
      <c r="A2759" t="n">
        <v>2758</v>
      </c>
      <c r="R2759">
        <f>IF(Q2759="","",IF(Q2759&gt;=60,"HIGH",IF(Q2759&gt;=30,"MEDIUM","LOW")))</f>
        <v/>
      </c>
    </row>
    <row r="2760">
      <c r="A2760" t="n">
        <v>2759</v>
      </c>
      <c r="R2760">
        <f>IF(Q2760="","",IF(Q2760&gt;=60,"HIGH",IF(Q2760&gt;=30,"MEDIUM","LOW")))</f>
        <v/>
      </c>
    </row>
    <row r="2761">
      <c r="A2761" t="n">
        <v>2760</v>
      </c>
      <c r="R2761">
        <f>IF(Q2761="","",IF(Q2761&gt;=60,"HIGH",IF(Q2761&gt;=30,"MEDIUM","LOW")))</f>
        <v/>
      </c>
    </row>
    <row r="2762">
      <c r="A2762" t="n">
        <v>2761</v>
      </c>
      <c r="R2762">
        <f>IF(Q2762="","",IF(Q2762&gt;=60,"HIGH",IF(Q2762&gt;=30,"MEDIUM","LOW")))</f>
        <v/>
      </c>
    </row>
    <row r="2763">
      <c r="A2763" t="n">
        <v>2762</v>
      </c>
      <c r="R2763">
        <f>IF(Q2763="","",IF(Q2763&gt;=60,"HIGH",IF(Q2763&gt;=30,"MEDIUM","LOW")))</f>
        <v/>
      </c>
    </row>
    <row r="2764">
      <c r="A2764" t="n">
        <v>2763</v>
      </c>
      <c r="R2764">
        <f>IF(Q2764="","",IF(Q2764&gt;=60,"HIGH",IF(Q2764&gt;=30,"MEDIUM","LOW")))</f>
        <v/>
      </c>
    </row>
    <row r="2765">
      <c r="A2765" t="n">
        <v>2764</v>
      </c>
      <c r="R2765">
        <f>IF(Q2765="","",IF(Q2765&gt;=60,"HIGH",IF(Q2765&gt;=30,"MEDIUM","LOW")))</f>
        <v/>
      </c>
    </row>
    <row r="2766">
      <c r="A2766" t="n">
        <v>2765</v>
      </c>
      <c r="R2766">
        <f>IF(Q2766="","",IF(Q2766&gt;=60,"HIGH",IF(Q2766&gt;=30,"MEDIUM","LOW")))</f>
        <v/>
      </c>
    </row>
    <row r="2767">
      <c r="A2767" t="n">
        <v>2766</v>
      </c>
      <c r="R2767">
        <f>IF(Q2767="","",IF(Q2767&gt;=60,"HIGH",IF(Q2767&gt;=30,"MEDIUM","LOW")))</f>
        <v/>
      </c>
    </row>
    <row r="2768">
      <c r="A2768" t="n">
        <v>2767</v>
      </c>
      <c r="R2768">
        <f>IF(Q2768="","",IF(Q2768&gt;=60,"HIGH",IF(Q2768&gt;=30,"MEDIUM","LOW")))</f>
        <v/>
      </c>
    </row>
    <row r="2769">
      <c r="A2769" t="n">
        <v>2768</v>
      </c>
      <c r="R2769">
        <f>IF(Q2769="","",IF(Q2769&gt;=60,"HIGH",IF(Q2769&gt;=30,"MEDIUM","LOW")))</f>
        <v/>
      </c>
    </row>
    <row r="2770">
      <c r="A2770" t="n">
        <v>2769</v>
      </c>
      <c r="R2770">
        <f>IF(Q2770="","",IF(Q2770&gt;=60,"HIGH",IF(Q2770&gt;=30,"MEDIUM","LOW")))</f>
        <v/>
      </c>
    </row>
    <row r="2771">
      <c r="A2771" t="n">
        <v>2770</v>
      </c>
      <c r="R2771">
        <f>IF(Q2771="","",IF(Q2771&gt;=60,"HIGH",IF(Q2771&gt;=30,"MEDIUM","LOW")))</f>
        <v/>
      </c>
    </row>
    <row r="2772">
      <c r="A2772" t="n">
        <v>2771</v>
      </c>
      <c r="R2772">
        <f>IF(Q2772="","",IF(Q2772&gt;=60,"HIGH",IF(Q2772&gt;=30,"MEDIUM","LOW")))</f>
        <v/>
      </c>
    </row>
    <row r="2773">
      <c r="A2773" t="n">
        <v>2772</v>
      </c>
      <c r="R2773">
        <f>IF(Q2773="","",IF(Q2773&gt;=60,"HIGH",IF(Q2773&gt;=30,"MEDIUM","LOW")))</f>
        <v/>
      </c>
    </row>
    <row r="2774">
      <c r="A2774" t="n">
        <v>2773</v>
      </c>
      <c r="R2774">
        <f>IF(Q2774="","",IF(Q2774&gt;=60,"HIGH",IF(Q2774&gt;=30,"MEDIUM","LOW")))</f>
        <v/>
      </c>
    </row>
    <row r="2775">
      <c r="A2775" t="n">
        <v>2774</v>
      </c>
      <c r="R2775">
        <f>IF(Q2775="","",IF(Q2775&gt;=60,"HIGH",IF(Q2775&gt;=30,"MEDIUM","LOW")))</f>
        <v/>
      </c>
    </row>
    <row r="2776">
      <c r="A2776" t="n">
        <v>2775</v>
      </c>
      <c r="R2776">
        <f>IF(Q2776="","",IF(Q2776&gt;=60,"HIGH",IF(Q2776&gt;=30,"MEDIUM","LOW")))</f>
        <v/>
      </c>
    </row>
    <row r="2777">
      <c r="A2777" t="n">
        <v>2776</v>
      </c>
      <c r="R2777">
        <f>IF(Q2777="","",IF(Q2777&gt;=60,"HIGH",IF(Q2777&gt;=30,"MEDIUM","LOW")))</f>
        <v/>
      </c>
    </row>
    <row r="2778">
      <c r="A2778" t="n">
        <v>2777</v>
      </c>
      <c r="R2778">
        <f>IF(Q2778="","",IF(Q2778&gt;=60,"HIGH",IF(Q2778&gt;=30,"MEDIUM","LOW")))</f>
        <v/>
      </c>
    </row>
    <row r="2779">
      <c r="A2779" t="n">
        <v>2778</v>
      </c>
      <c r="R2779">
        <f>IF(Q2779="","",IF(Q2779&gt;=60,"HIGH",IF(Q2779&gt;=30,"MEDIUM","LOW")))</f>
        <v/>
      </c>
    </row>
    <row r="2780">
      <c r="A2780" t="n">
        <v>2779</v>
      </c>
      <c r="R2780">
        <f>IF(Q2780="","",IF(Q2780&gt;=60,"HIGH",IF(Q2780&gt;=30,"MEDIUM","LOW")))</f>
        <v/>
      </c>
    </row>
    <row r="2781">
      <c r="A2781" t="n">
        <v>2780</v>
      </c>
      <c r="R2781">
        <f>IF(Q2781="","",IF(Q2781&gt;=60,"HIGH",IF(Q2781&gt;=30,"MEDIUM","LOW")))</f>
        <v/>
      </c>
    </row>
    <row r="2782">
      <c r="A2782" t="n">
        <v>2781</v>
      </c>
      <c r="R2782">
        <f>IF(Q2782="","",IF(Q2782&gt;=60,"HIGH",IF(Q2782&gt;=30,"MEDIUM","LOW")))</f>
        <v/>
      </c>
    </row>
    <row r="2783">
      <c r="A2783" t="n">
        <v>2782</v>
      </c>
      <c r="R2783">
        <f>IF(Q2783="","",IF(Q2783&gt;=60,"HIGH",IF(Q2783&gt;=30,"MEDIUM","LOW")))</f>
        <v/>
      </c>
    </row>
    <row r="2784">
      <c r="A2784" t="n">
        <v>2783</v>
      </c>
      <c r="R2784">
        <f>IF(Q2784="","",IF(Q2784&gt;=60,"HIGH",IF(Q2784&gt;=30,"MEDIUM","LOW")))</f>
        <v/>
      </c>
    </row>
    <row r="2785">
      <c r="A2785" t="n">
        <v>2784</v>
      </c>
      <c r="R2785">
        <f>IF(Q2785="","",IF(Q2785&gt;=60,"HIGH",IF(Q2785&gt;=30,"MEDIUM","LOW")))</f>
        <v/>
      </c>
    </row>
    <row r="2786">
      <c r="A2786" t="n">
        <v>2785</v>
      </c>
      <c r="R2786">
        <f>IF(Q2786="","",IF(Q2786&gt;=60,"HIGH",IF(Q2786&gt;=30,"MEDIUM","LOW")))</f>
        <v/>
      </c>
    </row>
    <row r="2787">
      <c r="A2787" t="n">
        <v>2786</v>
      </c>
      <c r="R2787">
        <f>IF(Q2787="","",IF(Q2787&gt;=60,"HIGH",IF(Q2787&gt;=30,"MEDIUM","LOW")))</f>
        <v/>
      </c>
    </row>
    <row r="2788">
      <c r="A2788" t="n">
        <v>2787</v>
      </c>
      <c r="R2788">
        <f>IF(Q2788="","",IF(Q2788&gt;=60,"HIGH",IF(Q2788&gt;=30,"MEDIUM","LOW")))</f>
        <v/>
      </c>
    </row>
    <row r="2789">
      <c r="A2789" t="n">
        <v>2788</v>
      </c>
      <c r="R2789">
        <f>IF(Q2789="","",IF(Q2789&gt;=60,"HIGH",IF(Q2789&gt;=30,"MEDIUM","LOW")))</f>
        <v/>
      </c>
    </row>
    <row r="2790">
      <c r="A2790" t="n">
        <v>2789</v>
      </c>
      <c r="R2790">
        <f>IF(Q2790="","",IF(Q2790&gt;=60,"HIGH",IF(Q2790&gt;=30,"MEDIUM","LOW")))</f>
        <v/>
      </c>
    </row>
    <row r="2791">
      <c r="A2791" t="n">
        <v>2790</v>
      </c>
      <c r="R2791">
        <f>IF(Q2791="","",IF(Q2791&gt;=60,"HIGH",IF(Q2791&gt;=30,"MEDIUM","LOW")))</f>
        <v/>
      </c>
    </row>
    <row r="2792">
      <c r="A2792" t="n">
        <v>2791</v>
      </c>
      <c r="R2792">
        <f>IF(Q2792="","",IF(Q2792&gt;=60,"HIGH",IF(Q2792&gt;=30,"MEDIUM","LOW")))</f>
        <v/>
      </c>
    </row>
    <row r="2793">
      <c r="A2793" t="n">
        <v>2792</v>
      </c>
      <c r="R2793">
        <f>IF(Q2793="","",IF(Q2793&gt;=60,"HIGH",IF(Q2793&gt;=30,"MEDIUM","LOW")))</f>
        <v/>
      </c>
    </row>
    <row r="2794">
      <c r="A2794" t="n">
        <v>2793</v>
      </c>
      <c r="R2794">
        <f>IF(Q2794="","",IF(Q2794&gt;=60,"HIGH",IF(Q2794&gt;=30,"MEDIUM","LOW")))</f>
        <v/>
      </c>
    </row>
    <row r="2795">
      <c r="A2795" t="n">
        <v>2794</v>
      </c>
      <c r="R2795">
        <f>IF(Q2795="","",IF(Q2795&gt;=60,"HIGH",IF(Q2795&gt;=30,"MEDIUM","LOW")))</f>
        <v/>
      </c>
    </row>
    <row r="2796">
      <c r="A2796" t="n">
        <v>2795</v>
      </c>
      <c r="R2796">
        <f>IF(Q2796="","",IF(Q2796&gt;=60,"HIGH",IF(Q2796&gt;=30,"MEDIUM","LOW")))</f>
        <v/>
      </c>
    </row>
    <row r="2797">
      <c r="A2797" t="n">
        <v>2796</v>
      </c>
      <c r="R2797">
        <f>IF(Q2797="","",IF(Q2797&gt;=60,"HIGH",IF(Q2797&gt;=30,"MEDIUM","LOW")))</f>
        <v/>
      </c>
    </row>
    <row r="2798">
      <c r="A2798" t="n">
        <v>2797</v>
      </c>
      <c r="R2798">
        <f>IF(Q2798="","",IF(Q2798&gt;=60,"HIGH",IF(Q2798&gt;=30,"MEDIUM","LOW")))</f>
        <v/>
      </c>
    </row>
    <row r="2799">
      <c r="A2799" t="n">
        <v>2798</v>
      </c>
      <c r="R2799">
        <f>IF(Q2799="","",IF(Q2799&gt;=60,"HIGH",IF(Q2799&gt;=30,"MEDIUM","LOW")))</f>
        <v/>
      </c>
    </row>
    <row r="2800">
      <c r="A2800" t="n">
        <v>2799</v>
      </c>
      <c r="R2800">
        <f>IF(Q2800="","",IF(Q2800&gt;=60,"HIGH",IF(Q2800&gt;=30,"MEDIUM","LOW")))</f>
        <v/>
      </c>
    </row>
    <row r="2801">
      <c r="A2801" t="n">
        <v>2800</v>
      </c>
      <c r="R2801">
        <f>IF(Q2801="","",IF(Q2801&gt;=60,"HIGH",IF(Q2801&gt;=30,"MEDIUM","LOW")))</f>
        <v/>
      </c>
    </row>
    <row r="2802">
      <c r="A2802" t="n">
        <v>2801</v>
      </c>
      <c r="R2802">
        <f>IF(Q2802="","",IF(Q2802&gt;=60,"HIGH",IF(Q2802&gt;=30,"MEDIUM","LOW")))</f>
        <v/>
      </c>
    </row>
    <row r="2803">
      <c r="A2803" t="n">
        <v>2802</v>
      </c>
      <c r="R2803">
        <f>IF(Q2803="","",IF(Q2803&gt;=60,"HIGH",IF(Q2803&gt;=30,"MEDIUM","LOW")))</f>
        <v/>
      </c>
    </row>
    <row r="2804">
      <c r="A2804" t="n">
        <v>2803</v>
      </c>
      <c r="R2804">
        <f>IF(Q2804="","",IF(Q2804&gt;=60,"HIGH",IF(Q2804&gt;=30,"MEDIUM","LOW")))</f>
        <v/>
      </c>
    </row>
    <row r="2805">
      <c r="A2805" t="n">
        <v>2804</v>
      </c>
      <c r="R2805">
        <f>IF(Q2805="","",IF(Q2805&gt;=60,"HIGH",IF(Q2805&gt;=30,"MEDIUM","LOW")))</f>
        <v/>
      </c>
    </row>
    <row r="2806">
      <c r="A2806" t="n">
        <v>2805</v>
      </c>
      <c r="R2806">
        <f>IF(Q2806="","",IF(Q2806&gt;=60,"HIGH",IF(Q2806&gt;=30,"MEDIUM","LOW")))</f>
        <v/>
      </c>
    </row>
    <row r="2807">
      <c r="A2807" t="n">
        <v>2806</v>
      </c>
      <c r="R2807">
        <f>IF(Q2807="","",IF(Q2807&gt;=60,"HIGH",IF(Q2807&gt;=30,"MEDIUM","LOW")))</f>
        <v/>
      </c>
    </row>
    <row r="2808">
      <c r="A2808" t="n">
        <v>2807</v>
      </c>
      <c r="R2808">
        <f>IF(Q2808="","",IF(Q2808&gt;=60,"HIGH",IF(Q2808&gt;=30,"MEDIUM","LOW")))</f>
        <v/>
      </c>
    </row>
    <row r="2809">
      <c r="A2809" t="n">
        <v>2808</v>
      </c>
      <c r="R2809">
        <f>IF(Q2809="","",IF(Q2809&gt;=60,"HIGH",IF(Q2809&gt;=30,"MEDIUM","LOW")))</f>
        <v/>
      </c>
    </row>
    <row r="2810">
      <c r="A2810" t="n">
        <v>2809</v>
      </c>
      <c r="R2810">
        <f>IF(Q2810="","",IF(Q2810&gt;=60,"HIGH",IF(Q2810&gt;=30,"MEDIUM","LOW")))</f>
        <v/>
      </c>
    </row>
    <row r="2811">
      <c r="A2811" t="n">
        <v>2810</v>
      </c>
      <c r="R2811">
        <f>IF(Q2811="","",IF(Q2811&gt;=60,"HIGH",IF(Q2811&gt;=30,"MEDIUM","LOW")))</f>
        <v/>
      </c>
    </row>
    <row r="2812">
      <c r="A2812" t="n">
        <v>2811</v>
      </c>
      <c r="R2812">
        <f>IF(Q2812="","",IF(Q2812&gt;=60,"HIGH",IF(Q2812&gt;=30,"MEDIUM","LOW")))</f>
        <v/>
      </c>
    </row>
    <row r="2813">
      <c r="A2813" t="n">
        <v>2812</v>
      </c>
      <c r="R2813">
        <f>IF(Q2813="","",IF(Q2813&gt;=60,"HIGH",IF(Q2813&gt;=30,"MEDIUM","LOW")))</f>
        <v/>
      </c>
    </row>
    <row r="2814">
      <c r="A2814" t="n">
        <v>2813</v>
      </c>
      <c r="R2814">
        <f>IF(Q2814="","",IF(Q2814&gt;=60,"HIGH",IF(Q2814&gt;=30,"MEDIUM","LOW")))</f>
        <v/>
      </c>
    </row>
    <row r="2815">
      <c r="A2815" t="n">
        <v>2814</v>
      </c>
      <c r="R2815">
        <f>IF(Q2815="","",IF(Q2815&gt;=60,"HIGH",IF(Q2815&gt;=30,"MEDIUM","LOW")))</f>
        <v/>
      </c>
    </row>
    <row r="2816">
      <c r="A2816" t="n">
        <v>2815</v>
      </c>
      <c r="R2816">
        <f>IF(Q2816="","",IF(Q2816&gt;=60,"HIGH",IF(Q2816&gt;=30,"MEDIUM","LOW")))</f>
        <v/>
      </c>
    </row>
    <row r="2817">
      <c r="A2817" t="n">
        <v>2816</v>
      </c>
      <c r="R2817">
        <f>IF(Q2817="","",IF(Q2817&gt;=60,"HIGH",IF(Q2817&gt;=30,"MEDIUM","LOW")))</f>
        <v/>
      </c>
    </row>
    <row r="2818">
      <c r="A2818" t="n">
        <v>2817</v>
      </c>
      <c r="R2818">
        <f>IF(Q2818="","",IF(Q2818&gt;=60,"HIGH",IF(Q2818&gt;=30,"MEDIUM","LOW")))</f>
        <v/>
      </c>
    </row>
    <row r="2819">
      <c r="A2819" t="n">
        <v>2818</v>
      </c>
      <c r="R2819">
        <f>IF(Q2819="","",IF(Q2819&gt;=60,"HIGH",IF(Q2819&gt;=30,"MEDIUM","LOW")))</f>
        <v/>
      </c>
    </row>
    <row r="2820">
      <c r="A2820" t="n">
        <v>2819</v>
      </c>
      <c r="R2820">
        <f>IF(Q2820="","",IF(Q2820&gt;=60,"HIGH",IF(Q2820&gt;=30,"MEDIUM","LOW")))</f>
        <v/>
      </c>
    </row>
    <row r="2821">
      <c r="A2821" t="n">
        <v>2820</v>
      </c>
      <c r="R2821">
        <f>IF(Q2821="","",IF(Q2821&gt;=60,"HIGH",IF(Q2821&gt;=30,"MEDIUM","LOW")))</f>
        <v/>
      </c>
    </row>
    <row r="2822">
      <c r="A2822" t="n">
        <v>2821</v>
      </c>
      <c r="R2822">
        <f>IF(Q2822="","",IF(Q2822&gt;=60,"HIGH",IF(Q2822&gt;=30,"MEDIUM","LOW")))</f>
        <v/>
      </c>
    </row>
    <row r="2823">
      <c r="A2823" t="n">
        <v>2822</v>
      </c>
      <c r="R2823">
        <f>IF(Q2823="","",IF(Q2823&gt;=60,"HIGH",IF(Q2823&gt;=30,"MEDIUM","LOW")))</f>
        <v/>
      </c>
    </row>
    <row r="2824">
      <c r="A2824" t="n">
        <v>2823</v>
      </c>
      <c r="R2824">
        <f>IF(Q2824="","",IF(Q2824&gt;=60,"HIGH",IF(Q2824&gt;=30,"MEDIUM","LOW")))</f>
        <v/>
      </c>
    </row>
    <row r="2825">
      <c r="A2825" t="n">
        <v>2824</v>
      </c>
      <c r="R2825">
        <f>IF(Q2825="","",IF(Q2825&gt;=60,"HIGH",IF(Q2825&gt;=30,"MEDIUM","LOW")))</f>
        <v/>
      </c>
    </row>
    <row r="2826">
      <c r="A2826" t="n">
        <v>2825</v>
      </c>
      <c r="R2826">
        <f>IF(Q2826="","",IF(Q2826&gt;=60,"HIGH",IF(Q2826&gt;=30,"MEDIUM","LOW")))</f>
        <v/>
      </c>
    </row>
    <row r="2827">
      <c r="A2827" t="n">
        <v>2826</v>
      </c>
      <c r="R2827">
        <f>IF(Q2827="","",IF(Q2827&gt;=60,"HIGH",IF(Q2827&gt;=30,"MEDIUM","LOW")))</f>
        <v/>
      </c>
    </row>
    <row r="2828">
      <c r="A2828" t="n">
        <v>2827</v>
      </c>
      <c r="R2828">
        <f>IF(Q2828="","",IF(Q2828&gt;=60,"HIGH",IF(Q2828&gt;=30,"MEDIUM","LOW")))</f>
        <v/>
      </c>
    </row>
    <row r="2829">
      <c r="A2829" t="n">
        <v>2828</v>
      </c>
      <c r="R2829">
        <f>IF(Q2829="","",IF(Q2829&gt;=60,"HIGH",IF(Q2829&gt;=30,"MEDIUM","LOW")))</f>
        <v/>
      </c>
    </row>
    <row r="2830">
      <c r="A2830" t="n">
        <v>2829</v>
      </c>
      <c r="R2830">
        <f>IF(Q2830="","",IF(Q2830&gt;=60,"HIGH",IF(Q2830&gt;=30,"MEDIUM","LOW")))</f>
        <v/>
      </c>
    </row>
    <row r="2831">
      <c r="A2831" t="n">
        <v>2830</v>
      </c>
      <c r="R2831">
        <f>IF(Q2831="","",IF(Q2831&gt;=60,"HIGH",IF(Q2831&gt;=30,"MEDIUM","LOW")))</f>
        <v/>
      </c>
    </row>
    <row r="2832">
      <c r="A2832" t="n">
        <v>2831</v>
      </c>
      <c r="R2832">
        <f>IF(Q2832="","",IF(Q2832&gt;=60,"HIGH",IF(Q2832&gt;=30,"MEDIUM","LOW")))</f>
        <v/>
      </c>
    </row>
    <row r="2833">
      <c r="A2833" t="n">
        <v>2832</v>
      </c>
      <c r="R2833">
        <f>IF(Q2833="","",IF(Q2833&gt;=60,"HIGH",IF(Q2833&gt;=30,"MEDIUM","LOW")))</f>
        <v/>
      </c>
    </row>
    <row r="2834">
      <c r="A2834" t="n">
        <v>2833</v>
      </c>
      <c r="R2834">
        <f>IF(Q2834="","",IF(Q2834&gt;=60,"HIGH",IF(Q2834&gt;=30,"MEDIUM","LOW")))</f>
        <v/>
      </c>
    </row>
    <row r="2835">
      <c r="A2835" t="n">
        <v>2834</v>
      </c>
      <c r="R2835">
        <f>IF(Q2835="","",IF(Q2835&gt;=60,"HIGH",IF(Q2835&gt;=30,"MEDIUM","LOW")))</f>
        <v/>
      </c>
    </row>
    <row r="2836">
      <c r="A2836" t="n">
        <v>2835</v>
      </c>
      <c r="R2836">
        <f>IF(Q2836="","",IF(Q2836&gt;=60,"HIGH",IF(Q2836&gt;=30,"MEDIUM","LOW")))</f>
        <v/>
      </c>
    </row>
    <row r="2837">
      <c r="A2837" t="n">
        <v>2836</v>
      </c>
      <c r="R2837">
        <f>IF(Q2837="","",IF(Q2837&gt;=60,"HIGH",IF(Q2837&gt;=30,"MEDIUM","LOW")))</f>
        <v/>
      </c>
    </row>
    <row r="2838">
      <c r="A2838" t="n">
        <v>2837</v>
      </c>
      <c r="R2838">
        <f>IF(Q2838="","",IF(Q2838&gt;=60,"HIGH",IF(Q2838&gt;=30,"MEDIUM","LOW")))</f>
        <v/>
      </c>
    </row>
    <row r="2839">
      <c r="A2839" t="n">
        <v>2838</v>
      </c>
      <c r="R2839">
        <f>IF(Q2839="","",IF(Q2839&gt;=60,"HIGH",IF(Q2839&gt;=30,"MEDIUM","LOW")))</f>
        <v/>
      </c>
    </row>
    <row r="2840">
      <c r="A2840" t="n">
        <v>2839</v>
      </c>
      <c r="R2840">
        <f>IF(Q2840="","",IF(Q2840&gt;=60,"HIGH",IF(Q2840&gt;=30,"MEDIUM","LOW")))</f>
        <v/>
      </c>
    </row>
    <row r="2841">
      <c r="A2841" t="n">
        <v>2840</v>
      </c>
      <c r="R2841">
        <f>IF(Q2841="","",IF(Q2841&gt;=60,"HIGH",IF(Q2841&gt;=30,"MEDIUM","LOW")))</f>
        <v/>
      </c>
    </row>
    <row r="2842">
      <c r="A2842" t="n">
        <v>2841</v>
      </c>
      <c r="R2842">
        <f>IF(Q2842="","",IF(Q2842&gt;=60,"HIGH",IF(Q2842&gt;=30,"MEDIUM","LOW")))</f>
        <v/>
      </c>
    </row>
    <row r="2843">
      <c r="A2843" t="n">
        <v>2842</v>
      </c>
      <c r="R2843">
        <f>IF(Q2843="","",IF(Q2843&gt;=60,"HIGH",IF(Q2843&gt;=30,"MEDIUM","LOW")))</f>
        <v/>
      </c>
    </row>
    <row r="2844">
      <c r="A2844" t="n">
        <v>2843</v>
      </c>
      <c r="R2844">
        <f>IF(Q2844="","",IF(Q2844&gt;=60,"HIGH",IF(Q2844&gt;=30,"MEDIUM","LOW")))</f>
        <v/>
      </c>
    </row>
    <row r="2845">
      <c r="A2845" t="n">
        <v>2844</v>
      </c>
      <c r="R2845">
        <f>IF(Q2845="","",IF(Q2845&gt;=60,"HIGH",IF(Q2845&gt;=30,"MEDIUM","LOW")))</f>
        <v/>
      </c>
    </row>
    <row r="2846">
      <c r="A2846" t="n">
        <v>2845</v>
      </c>
      <c r="R2846">
        <f>IF(Q2846="","",IF(Q2846&gt;=60,"HIGH",IF(Q2846&gt;=30,"MEDIUM","LOW")))</f>
        <v/>
      </c>
    </row>
    <row r="2847">
      <c r="A2847" t="n">
        <v>2846</v>
      </c>
      <c r="R2847">
        <f>IF(Q2847="","",IF(Q2847&gt;=60,"HIGH",IF(Q2847&gt;=30,"MEDIUM","LOW")))</f>
        <v/>
      </c>
    </row>
    <row r="2848">
      <c r="A2848" t="n">
        <v>2847</v>
      </c>
      <c r="R2848">
        <f>IF(Q2848="","",IF(Q2848&gt;=60,"HIGH",IF(Q2848&gt;=30,"MEDIUM","LOW")))</f>
        <v/>
      </c>
    </row>
    <row r="2849">
      <c r="A2849" t="n">
        <v>2848</v>
      </c>
      <c r="R2849">
        <f>IF(Q2849="","",IF(Q2849&gt;=60,"HIGH",IF(Q2849&gt;=30,"MEDIUM","LOW")))</f>
        <v/>
      </c>
    </row>
    <row r="2850">
      <c r="A2850" t="n">
        <v>2849</v>
      </c>
      <c r="R2850">
        <f>IF(Q2850="","",IF(Q2850&gt;=60,"HIGH",IF(Q2850&gt;=30,"MEDIUM","LOW")))</f>
        <v/>
      </c>
    </row>
    <row r="2851">
      <c r="A2851" t="n">
        <v>2850</v>
      </c>
      <c r="R2851">
        <f>IF(Q2851="","",IF(Q2851&gt;=60,"HIGH",IF(Q2851&gt;=30,"MEDIUM","LOW")))</f>
        <v/>
      </c>
    </row>
    <row r="2852">
      <c r="A2852" t="n">
        <v>2851</v>
      </c>
      <c r="R2852">
        <f>IF(Q2852="","",IF(Q2852&gt;=60,"HIGH",IF(Q2852&gt;=30,"MEDIUM","LOW")))</f>
        <v/>
      </c>
    </row>
    <row r="2853">
      <c r="A2853" t="n">
        <v>2852</v>
      </c>
      <c r="R2853">
        <f>IF(Q2853="","",IF(Q2853&gt;=60,"HIGH",IF(Q2853&gt;=30,"MEDIUM","LOW")))</f>
        <v/>
      </c>
    </row>
    <row r="2854">
      <c r="A2854" t="n">
        <v>2853</v>
      </c>
      <c r="R2854">
        <f>IF(Q2854="","",IF(Q2854&gt;=60,"HIGH",IF(Q2854&gt;=30,"MEDIUM","LOW")))</f>
        <v/>
      </c>
    </row>
    <row r="2855">
      <c r="A2855" t="n">
        <v>2854</v>
      </c>
      <c r="R2855">
        <f>IF(Q2855="","",IF(Q2855&gt;=60,"HIGH",IF(Q2855&gt;=30,"MEDIUM","LOW")))</f>
        <v/>
      </c>
    </row>
    <row r="2856">
      <c r="A2856" t="n">
        <v>2855</v>
      </c>
      <c r="R2856">
        <f>IF(Q2856="","",IF(Q2856&gt;=60,"HIGH",IF(Q2856&gt;=30,"MEDIUM","LOW")))</f>
        <v/>
      </c>
    </row>
    <row r="2857">
      <c r="A2857" t="n">
        <v>2856</v>
      </c>
      <c r="R2857">
        <f>IF(Q2857="","",IF(Q2857&gt;=60,"HIGH",IF(Q2857&gt;=30,"MEDIUM","LOW")))</f>
        <v/>
      </c>
    </row>
    <row r="2858">
      <c r="A2858" t="n">
        <v>2857</v>
      </c>
      <c r="R2858">
        <f>IF(Q2858="","",IF(Q2858&gt;=60,"HIGH",IF(Q2858&gt;=30,"MEDIUM","LOW")))</f>
        <v/>
      </c>
    </row>
    <row r="2859">
      <c r="A2859" t="n">
        <v>2858</v>
      </c>
      <c r="R2859">
        <f>IF(Q2859="","",IF(Q2859&gt;=60,"HIGH",IF(Q2859&gt;=30,"MEDIUM","LOW")))</f>
        <v/>
      </c>
    </row>
    <row r="2860">
      <c r="A2860" t="n">
        <v>2859</v>
      </c>
      <c r="R2860">
        <f>IF(Q2860="","",IF(Q2860&gt;=60,"HIGH",IF(Q2860&gt;=30,"MEDIUM","LOW")))</f>
        <v/>
      </c>
    </row>
    <row r="2861">
      <c r="A2861" t="n">
        <v>2860</v>
      </c>
      <c r="R2861">
        <f>IF(Q2861="","",IF(Q2861&gt;=60,"HIGH",IF(Q2861&gt;=30,"MEDIUM","LOW")))</f>
        <v/>
      </c>
    </row>
    <row r="2862">
      <c r="A2862" t="n">
        <v>2861</v>
      </c>
      <c r="R2862">
        <f>IF(Q2862="","",IF(Q2862&gt;=60,"HIGH",IF(Q2862&gt;=30,"MEDIUM","LOW")))</f>
        <v/>
      </c>
    </row>
    <row r="2863">
      <c r="A2863" t="n">
        <v>2862</v>
      </c>
      <c r="R2863">
        <f>IF(Q2863="","",IF(Q2863&gt;=60,"HIGH",IF(Q2863&gt;=30,"MEDIUM","LOW")))</f>
        <v/>
      </c>
    </row>
    <row r="2864">
      <c r="A2864" t="n">
        <v>2863</v>
      </c>
      <c r="R2864">
        <f>IF(Q2864="","",IF(Q2864&gt;=60,"HIGH",IF(Q2864&gt;=30,"MEDIUM","LOW")))</f>
        <v/>
      </c>
    </row>
    <row r="2865">
      <c r="A2865" t="n">
        <v>2864</v>
      </c>
      <c r="R2865">
        <f>IF(Q2865="","",IF(Q2865&gt;=60,"HIGH",IF(Q2865&gt;=30,"MEDIUM","LOW")))</f>
        <v/>
      </c>
    </row>
    <row r="2866">
      <c r="A2866" t="n">
        <v>2865</v>
      </c>
      <c r="R2866">
        <f>IF(Q2866="","",IF(Q2866&gt;=60,"HIGH",IF(Q2866&gt;=30,"MEDIUM","LOW")))</f>
        <v/>
      </c>
    </row>
    <row r="2867">
      <c r="A2867" t="n">
        <v>2866</v>
      </c>
      <c r="R2867">
        <f>IF(Q2867="","",IF(Q2867&gt;=60,"HIGH",IF(Q2867&gt;=30,"MEDIUM","LOW")))</f>
        <v/>
      </c>
    </row>
    <row r="2868">
      <c r="A2868" t="n">
        <v>2867</v>
      </c>
      <c r="R2868">
        <f>IF(Q2868="","",IF(Q2868&gt;=60,"HIGH",IF(Q2868&gt;=30,"MEDIUM","LOW")))</f>
        <v/>
      </c>
    </row>
    <row r="2869">
      <c r="A2869" t="n">
        <v>2868</v>
      </c>
      <c r="R2869">
        <f>IF(Q2869="","",IF(Q2869&gt;=60,"HIGH",IF(Q2869&gt;=30,"MEDIUM","LOW")))</f>
        <v/>
      </c>
    </row>
    <row r="2870">
      <c r="A2870" t="n">
        <v>2869</v>
      </c>
      <c r="R2870">
        <f>IF(Q2870="","",IF(Q2870&gt;=60,"HIGH",IF(Q2870&gt;=30,"MEDIUM","LOW")))</f>
        <v/>
      </c>
    </row>
    <row r="2871">
      <c r="A2871" t="n">
        <v>2870</v>
      </c>
      <c r="R2871">
        <f>IF(Q2871="","",IF(Q2871&gt;=60,"HIGH",IF(Q2871&gt;=30,"MEDIUM","LOW")))</f>
        <v/>
      </c>
    </row>
    <row r="2872">
      <c r="A2872" t="n">
        <v>2871</v>
      </c>
      <c r="R2872">
        <f>IF(Q2872="","",IF(Q2872&gt;=60,"HIGH",IF(Q2872&gt;=30,"MEDIUM","LOW")))</f>
        <v/>
      </c>
    </row>
    <row r="2873">
      <c r="A2873" t="n">
        <v>2872</v>
      </c>
      <c r="R2873">
        <f>IF(Q2873="","",IF(Q2873&gt;=60,"HIGH",IF(Q2873&gt;=30,"MEDIUM","LOW")))</f>
        <v/>
      </c>
    </row>
    <row r="2874">
      <c r="A2874" t="n">
        <v>2873</v>
      </c>
      <c r="R2874">
        <f>IF(Q2874="","",IF(Q2874&gt;=60,"HIGH",IF(Q2874&gt;=30,"MEDIUM","LOW")))</f>
        <v/>
      </c>
    </row>
    <row r="2875">
      <c r="A2875" t="n">
        <v>2874</v>
      </c>
      <c r="R2875">
        <f>IF(Q2875="","",IF(Q2875&gt;=60,"HIGH",IF(Q2875&gt;=30,"MEDIUM","LOW")))</f>
        <v/>
      </c>
    </row>
    <row r="2876">
      <c r="A2876" t="n">
        <v>2875</v>
      </c>
      <c r="R2876">
        <f>IF(Q2876="","",IF(Q2876&gt;=60,"HIGH",IF(Q2876&gt;=30,"MEDIUM","LOW")))</f>
        <v/>
      </c>
    </row>
    <row r="2877">
      <c r="A2877" t="n">
        <v>2876</v>
      </c>
      <c r="R2877">
        <f>IF(Q2877="","",IF(Q2877&gt;=60,"HIGH",IF(Q2877&gt;=30,"MEDIUM","LOW")))</f>
        <v/>
      </c>
    </row>
    <row r="2878">
      <c r="A2878" t="n">
        <v>2877</v>
      </c>
      <c r="R2878">
        <f>IF(Q2878="","",IF(Q2878&gt;=60,"HIGH",IF(Q2878&gt;=30,"MEDIUM","LOW")))</f>
        <v/>
      </c>
    </row>
    <row r="2879">
      <c r="A2879" t="n">
        <v>2878</v>
      </c>
      <c r="R2879">
        <f>IF(Q2879="","",IF(Q2879&gt;=60,"HIGH",IF(Q2879&gt;=30,"MEDIUM","LOW")))</f>
        <v/>
      </c>
    </row>
    <row r="2880">
      <c r="A2880" t="n">
        <v>2879</v>
      </c>
      <c r="R2880">
        <f>IF(Q2880="","",IF(Q2880&gt;=60,"HIGH",IF(Q2880&gt;=30,"MEDIUM","LOW")))</f>
        <v/>
      </c>
    </row>
    <row r="2881">
      <c r="A2881" t="n">
        <v>2880</v>
      </c>
      <c r="R2881">
        <f>IF(Q2881="","",IF(Q2881&gt;=60,"HIGH",IF(Q2881&gt;=30,"MEDIUM","LOW")))</f>
        <v/>
      </c>
    </row>
    <row r="2882">
      <c r="A2882" t="n">
        <v>2881</v>
      </c>
      <c r="R2882">
        <f>IF(Q2882="","",IF(Q2882&gt;=60,"HIGH",IF(Q2882&gt;=30,"MEDIUM","LOW")))</f>
        <v/>
      </c>
    </row>
    <row r="2883">
      <c r="A2883" t="n">
        <v>2882</v>
      </c>
      <c r="R2883">
        <f>IF(Q2883="","",IF(Q2883&gt;=60,"HIGH",IF(Q2883&gt;=30,"MEDIUM","LOW")))</f>
        <v/>
      </c>
    </row>
    <row r="2884">
      <c r="A2884" t="n">
        <v>2883</v>
      </c>
      <c r="R2884">
        <f>IF(Q2884="","",IF(Q2884&gt;=60,"HIGH",IF(Q2884&gt;=30,"MEDIUM","LOW")))</f>
        <v/>
      </c>
    </row>
    <row r="2885">
      <c r="A2885" t="n">
        <v>2884</v>
      </c>
      <c r="R2885">
        <f>IF(Q2885="","",IF(Q2885&gt;=60,"HIGH",IF(Q2885&gt;=30,"MEDIUM","LOW")))</f>
        <v/>
      </c>
    </row>
    <row r="2886">
      <c r="A2886" t="n">
        <v>2885</v>
      </c>
      <c r="R2886">
        <f>IF(Q2886="","",IF(Q2886&gt;=60,"HIGH",IF(Q2886&gt;=30,"MEDIUM","LOW")))</f>
        <v/>
      </c>
    </row>
    <row r="2887">
      <c r="A2887" t="n">
        <v>2886</v>
      </c>
      <c r="R2887">
        <f>IF(Q2887="","",IF(Q2887&gt;=60,"HIGH",IF(Q2887&gt;=30,"MEDIUM","LOW")))</f>
        <v/>
      </c>
    </row>
    <row r="2888">
      <c r="A2888" t="n">
        <v>2887</v>
      </c>
      <c r="R2888">
        <f>IF(Q2888="","",IF(Q2888&gt;=60,"HIGH",IF(Q2888&gt;=30,"MEDIUM","LOW")))</f>
        <v/>
      </c>
    </row>
    <row r="2889">
      <c r="A2889" t="n">
        <v>2888</v>
      </c>
      <c r="R2889">
        <f>IF(Q2889="","",IF(Q2889&gt;=60,"HIGH",IF(Q2889&gt;=30,"MEDIUM","LOW")))</f>
        <v/>
      </c>
    </row>
    <row r="2890">
      <c r="A2890" t="n">
        <v>2889</v>
      </c>
      <c r="R2890">
        <f>IF(Q2890="","",IF(Q2890&gt;=60,"HIGH",IF(Q2890&gt;=30,"MEDIUM","LOW")))</f>
        <v/>
      </c>
    </row>
    <row r="2891">
      <c r="A2891" t="n">
        <v>2890</v>
      </c>
      <c r="R2891">
        <f>IF(Q2891="","",IF(Q2891&gt;=60,"HIGH",IF(Q2891&gt;=30,"MEDIUM","LOW")))</f>
        <v/>
      </c>
    </row>
    <row r="2892">
      <c r="A2892" t="n">
        <v>2891</v>
      </c>
      <c r="R2892">
        <f>IF(Q2892="","",IF(Q2892&gt;=60,"HIGH",IF(Q2892&gt;=30,"MEDIUM","LOW")))</f>
        <v/>
      </c>
    </row>
    <row r="2893">
      <c r="A2893" t="n">
        <v>2892</v>
      </c>
      <c r="R2893">
        <f>IF(Q2893="","",IF(Q2893&gt;=60,"HIGH",IF(Q2893&gt;=30,"MEDIUM","LOW")))</f>
        <v/>
      </c>
    </row>
    <row r="2894">
      <c r="A2894" t="n">
        <v>2893</v>
      </c>
      <c r="R2894">
        <f>IF(Q2894="","",IF(Q2894&gt;=60,"HIGH",IF(Q2894&gt;=30,"MEDIUM","LOW")))</f>
        <v/>
      </c>
    </row>
    <row r="2895">
      <c r="A2895" t="n">
        <v>2894</v>
      </c>
      <c r="R2895">
        <f>IF(Q2895="","",IF(Q2895&gt;=60,"HIGH",IF(Q2895&gt;=30,"MEDIUM","LOW")))</f>
        <v/>
      </c>
    </row>
    <row r="2896">
      <c r="A2896" t="n">
        <v>2895</v>
      </c>
      <c r="R2896">
        <f>IF(Q2896="","",IF(Q2896&gt;=60,"HIGH",IF(Q2896&gt;=30,"MEDIUM","LOW")))</f>
        <v/>
      </c>
    </row>
    <row r="2897">
      <c r="A2897" t="n">
        <v>2896</v>
      </c>
      <c r="R2897">
        <f>IF(Q2897="","",IF(Q2897&gt;=60,"HIGH",IF(Q2897&gt;=30,"MEDIUM","LOW")))</f>
        <v/>
      </c>
    </row>
    <row r="2898">
      <c r="A2898" t="n">
        <v>2897</v>
      </c>
      <c r="R2898">
        <f>IF(Q2898="","",IF(Q2898&gt;=60,"HIGH",IF(Q2898&gt;=30,"MEDIUM","LOW")))</f>
        <v/>
      </c>
    </row>
    <row r="2899">
      <c r="A2899" t="n">
        <v>2898</v>
      </c>
      <c r="R2899">
        <f>IF(Q2899="","",IF(Q2899&gt;=60,"HIGH",IF(Q2899&gt;=30,"MEDIUM","LOW")))</f>
        <v/>
      </c>
    </row>
    <row r="2900">
      <c r="A2900" t="n">
        <v>2899</v>
      </c>
      <c r="R2900">
        <f>IF(Q2900="","",IF(Q2900&gt;=60,"HIGH",IF(Q2900&gt;=30,"MEDIUM","LOW")))</f>
        <v/>
      </c>
    </row>
    <row r="2901">
      <c r="A2901" t="n">
        <v>2900</v>
      </c>
      <c r="R2901">
        <f>IF(Q2901="","",IF(Q2901&gt;=60,"HIGH",IF(Q2901&gt;=30,"MEDIUM","LOW")))</f>
        <v/>
      </c>
    </row>
    <row r="2902">
      <c r="A2902" t="n">
        <v>2901</v>
      </c>
      <c r="R2902">
        <f>IF(Q2902="","",IF(Q2902&gt;=60,"HIGH",IF(Q2902&gt;=30,"MEDIUM","LOW")))</f>
        <v/>
      </c>
    </row>
    <row r="2903">
      <c r="A2903" t="n">
        <v>2902</v>
      </c>
      <c r="R2903">
        <f>IF(Q2903="","",IF(Q2903&gt;=60,"HIGH",IF(Q2903&gt;=30,"MEDIUM","LOW")))</f>
        <v/>
      </c>
    </row>
    <row r="2904">
      <c r="A2904" t="n">
        <v>2903</v>
      </c>
      <c r="R2904">
        <f>IF(Q2904="","",IF(Q2904&gt;=60,"HIGH",IF(Q2904&gt;=30,"MEDIUM","LOW")))</f>
        <v/>
      </c>
    </row>
    <row r="2905">
      <c r="A2905" t="n">
        <v>2904</v>
      </c>
      <c r="R2905">
        <f>IF(Q2905="","",IF(Q2905&gt;=60,"HIGH",IF(Q2905&gt;=30,"MEDIUM","LOW")))</f>
        <v/>
      </c>
    </row>
    <row r="2906">
      <c r="A2906" t="n">
        <v>2905</v>
      </c>
      <c r="R2906">
        <f>IF(Q2906="","",IF(Q2906&gt;=60,"HIGH",IF(Q2906&gt;=30,"MEDIUM","LOW")))</f>
        <v/>
      </c>
    </row>
    <row r="2907">
      <c r="A2907" t="n">
        <v>2906</v>
      </c>
      <c r="R2907">
        <f>IF(Q2907="","",IF(Q2907&gt;=60,"HIGH",IF(Q2907&gt;=30,"MEDIUM","LOW")))</f>
        <v/>
      </c>
    </row>
    <row r="2908">
      <c r="A2908" t="n">
        <v>2907</v>
      </c>
      <c r="R2908">
        <f>IF(Q2908="","",IF(Q2908&gt;=60,"HIGH",IF(Q2908&gt;=30,"MEDIUM","LOW")))</f>
        <v/>
      </c>
    </row>
    <row r="2909">
      <c r="A2909" t="n">
        <v>2908</v>
      </c>
      <c r="R2909">
        <f>IF(Q2909="","",IF(Q2909&gt;=60,"HIGH",IF(Q2909&gt;=30,"MEDIUM","LOW")))</f>
        <v/>
      </c>
    </row>
    <row r="2910">
      <c r="A2910" t="n">
        <v>2909</v>
      </c>
      <c r="R2910">
        <f>IF(Q2910="","",IF(Q2910&gt;=60,"HIGH",IF(Q2910&gt;=30,"MEDIUM","LOW")))</f>
        <v/>
      </c>
    </row>
    <row r="2911">
      <c r="A2911" t="n">
        <v>2910</v>
      </c>
      <c r="R2911">
        <f>IF(Q2911="","",IF(Q2911&gt;=60,"HIGH",IF(Q2911&gt;=30,"MEDIUM","LOW")))</f>
        <v/>
      </c>
    </row>
    <row r="2912">
      <c r="A2912" t="n">
        <v>2911</v>
      </c>
      <c r="R2912">
        <f>IF(Q2912="","",IF(Q2912&gt;=60,"HIGH",IF(Q2912&gt;=30,"MEDIUM","LOW")))</f>
        <v/>
      </c>
    </row>
    <row r="2913">
      <c r="A2913" t="n">
        <v>2912</v>
      </c>
      <c r="R2913">
        <f>IF(Q2913="","",IF(Q2913&gt;=60,"HIGH",IF(Q2913&gt;=30,"MEDIUM","LOW")))</f>
        <v/>
      </c>
    </row>
    <row r="2914">
      <c r="A2914" t="n">
        <v>2913</v>
      </c>
      <c r="R2914">
        <f>IF(Q2914="","",IF(Q2914&gt;=60,"HIGH",IF(Q2914&gt;=30,"MEDIUM","LOW")))</f>
        <v/>
      </c>
    </row>
    <row r="2915">
      <c r="A2915" t="n">
        <v>2914</v>
      </c>
      <c r="R2915">
        <f>IF(Q2915="","",IF(Q2915&gt;=60,"HIGH",IF(Q2915&gt;=30,"MEDIUM","LOW")))</f>
        <v/>
      </c>
    </row>
    <row r="2916">
      <c r="A2916" t="n">
        <v>2915</v>
      </c>
      <c r="R2916">
        <f>IF(Q2916="","",IF(Q2916&gt;=60,"HIGH",IF(Q2916&gt;=30,"MEDIUM","LOW")))</f>
        <v/>
      </c>
    </row>
    <row r="2917">
      <c r="A2917" t="n">
        <v>2916</v>
      </c>
      <c r="R2917">
        <f>IF(Q2917="","",IF(Q2917&gt;=60,"HIGH",IF(Q2917&gt;=30,"MEDIUM","LOW")))</f>
        <v/>
      </c>
    </row>
    <row r="2918">
      <c r="A2918" t="n">
        <v>2917</v>
      </c>
      <c r="R2918">
        <f>IF(Q2918="","",IF(Q2918&gt;=60,"HIGH",IF(Q2918&gt;=30,"MEDIUM","LOW")))</f>
        <v/>
      </c>
    </row>
    <row r="2919">
      <c r="A2919" t="n">
        <v>2918</v>
      </c>
      <c r="R2919">
        <f>IF(Q2919="","",IF(Q2919&gt;=60,"HIGH",IF(Q2919&gt;=30,"MEDIUM","LOW")))</f>
        <v/>
      </c>
    </row>
    <row r="2920">
      <c r="A2920" t="n">
        <v>2919</v>
      </c>
      <c r="R2920">
        <f>IF(Q2920="","",IF(Q2920&gt;=60,"HIGH",IF(Q2920&gt;=30,"MEDIUM","LOW")))</f>
        <v/>
      </c>
    </row>
    <row r="2921">
      <c r="A2921" t="n">
        <v>2920</v>
      </c>
      <c r="R2921">
        <f>IF(Q2921="","",IF(Q2921&gt;=60,"HIGH",IF(Q2921&gt;=30,"MEDIUM","LOW")))</f>
        <v/>
      </c>
    </row>
    <row r="2922">
      <c r="A2922" t="n">
        <v>2921</v>
      </c>
      <c r="R2922">
        <f>IF(Q2922="","",IF(Q2922&gt;=60,"HIGH",IF(Q2922&gt;=30,"MEDIUM","LOW")))</f>
        <v/>
      </c>
    </row>
    <row r="2923">
      <c r="A2923" t="n">
        <v>2922</v>
      </c>
      <c r="R2923">
        <f>IF(Q2923="","",IF(Q2923&gt;=60,"HIGH",IF(Q2923&gt;=30,"MEDIUM","LOW")))</f>
        <v/>
      </c>
    </row>
    <row r="2924">
      <c r="A2924" t="n">
        <v>2923</v>
      </c>
      <c r="R2924">
        <f>IF(Q2924="","",IF(Q2924&gt;=60,"HIGH",IF(Q2924&gt;=30,"MEDIUM","LOW")))</f>
        <v/>
      </c>
    </row>
    <row r="2925">
      <c r="A2925" t="n">
        <v>2924</v>
      </c>
      <c r="R2925">
        <f>IF(Q2925="","",IF(Q2925&gt;=60,"HIGH",IF(Q2925&gt;=30,"MEDIUM","LOW")))</f>
        <v/>
      </c>
    </row>
    <row r="2926">
      <c r="A2926" t="n">
        <v>2925</v>
      </c>
      <c r="R2926">
        <f>IF(Q2926="","",IF(Q2926&gt;=60,"HIGH",IF(Q2926&gt;=30,"MEDIUM","LOW")))</f>
        <v/>
      </c>
    </row>
    <row r="2927">
      <c r="A2927" t="n">
        <v>2926</v>
      </c>
      <c r="R2927">
        <f>IF(Q2927="","",IF(Q2927&gt;=60,"HIGH",IF(Q2927&gt;=30,"MEDIUM","LOW")))</f>
        <v/>
      </c>
    </row>
    <row r="2928">
      <c r="A2928" t="n">
        <v>2927</v>
      </c>
      <c r="R2928">
        <f>IF(Q2928="","",IF(Q2928&gt;=60,"HIGH",IF(Q2928&gt;=30,"MEDIUM","LOW")))</f>
        <v/>
      </c>
    </row>
    <row r="2929">
      <c r="A2929" t="n">
        <v>2928</v>
      </c>
      <c r="R2929">
        <f>IF(Q2929="","",IF(Q2929&gt;=60,"HIGH",IF(Q2929&gt;=30,"MEDIUM","LOW")))</f>
        <v/>
      </c>
    </row>
    <row r="2930">
      <c r="A2930" t="n">
        <v>2929</v>
      </c>
      <c r="R2930">
        <f>IF(Q2930="","",IF(Q2930&gt;=60,"HIGH",IF(Q2930&gt;=30,"MEDIUM","LOW")))</f>
        <v/>
      </c>
    </row>
    <row r="2931">
      <c r="A2931" t="n">
        <v>2930</v>
      </c>
      <c r="R2931">
        <f>IF(Q2931="","",IF(Q2931&gt;=60,"HIGH",IF(Q2931&gt;=30,"MEDIUM","LOW")))</f>
        <v/>
      </c>
    </row>
    <row r="2932">
      <c r="A2932" t="n">
        <v>2931</v>
      </c>
      <c r="R2932">
        <f>IF(Q2932="","",IF(Q2932&gt;=60,"HIGH",IF(Q2932&gt;=30,"MEDIUM","LOW")))</f>
        <v/>
      </c>
    </row>
    <row r="2933">
      <c r="A2933" t="n">
        <v>2932</v>
      </c>
      <c r="R2933">
        <f>IF(Q2933="","",IF(Q2933&gt;=60,"HIGH",IF(Q2933&gt;=30,"MEDIUM","LOW")))</f>
        <v/>
      </c>
    </row>
    <row r="2934">
      <c r="A2934" t="n">
        <v>2933</v>
      </c>
      <c r="R2934">
        <f>IF(Q2934="","",IF(Q2934&gt;=60,"HIGH",IF(Q2934&gt;=30,"MEDIUM","LOW")))</f>
        <v/>
      </c>
    </row>
    <row r="2935">
      <c r="A2935" t="n">
        <v>2934</v>
      </c>
      <c r="R2935">
        <f>IF(Q2935="","",IF(Q2935&gt;=60,"HIGH",IF(Q2935&gt;=30,"MEDIUM","LOW")))</f>
        <v/>
      </c>
    </row>
    <row r="2936">
      <c r="A2936" t="n">
        <v>2935</v>
      </c>
      <c r="R2936">
        <f>IF(Q2936="","",IF(Q2936&gt;=60,"HIGH",IF(Q2936&gt;=30,"MEDIUM","LOW")))</f>
        <v/>
      </c>
    </row>
    <row r="2937">
      <c r="A2937" t="n">
        <v>2936</v>
      </c>
      <c r="R2937">
        <f>IF(Q2937="","",IF(Q2937&gt;=60,"HIGH",IF(Q2937&gt;=30,"MEDIUM","LOW")))</f>
        <v/>
      </c>
    </row>
    <row r="2938">
      <c r="A2938" t="n">
        <v>2937</v>
      </c>
      <c r="R2938">
        <f>IF(Q2938="","",IF(Q2938&gt;=60,"HIGH",IF(Q2938&gt;=30,"MEDIUM","LOW")))</f>
        <v/>
      </c>
    </row>
    <row r="2939">
      <c r="A2939" t="n">
        <v>2938</v>
      </c>
      <c r="R2939">
        <f>IF(Q2939="","",IF(Q2939&gt;=60,"HIGH",IF(Q2939&gt;=30,"MEDIUM","LOW")))</f>
        <v/>
      </c>
    </row>
    <row r="2940">
      <c r="A2940" t="n">
        <v>2939</v>
      </c>
      <c r="R2940">
        <f>IF(Q2940="","",IF(Q2940&gt;=60,"HIGH",IF(Q2940&gt;=30,"MEDIUM","LOW")))</f>
        <v/>
      </c>
    </row>
    <row r="2941">
      <c r="A2941" t="n">
        <v>2940</v>
      </c>
      <c r="R2941">
        <f>IF(Q2941="","",IF(Q2941&gt;=60,"HIGH",IF(Q2941&gt;=30,"MEDIUM","LOW")))</f>
        <v/>
      </c>
    </row>
    <row r="2942">
      <c r="A2942" t="n">
        <v>2941</v>
      </c>
      <c r="R2942">
        <f>IF(Q2942="","",IF(Q2942&gt;=60,"HIGH",IF(Q2942&gt;=30,"MEDIUM","LOW")))</f>
        <v/>
      </c>
    </row>
    <row r="2943">
      <c r="A2943" t="n">
        <v>2942</v>
      </c>
      <c r="R2943">
        <f>IF(Q2943="","",IF(Q2943&gt;=60,"HIGH",IF(Q2943&gt;=30,"MEDIUM","LOW")))</f>
        <v/>
      </c>
    </row>
    <row r="2944">
      <c r="A2944" t="n">
        <v>2943</v>
      </c>
      <c r="R2944">
        <f>IF(Q2944="","",IF(Q2944&gt;=60,"HIGH",IF(Q2944&gt;=30,"MEDIUM","LOW")))</f>
        <v/>
      </c>
    </row>
    <row r="2945">
      <c r="A2945" t="n">
        <v>2944</v>
      </c>
      <c r="R2945">
        <f>IF(Q2945="","",IF(Q2945&gt;=60,"HIGH",IF(Q2945&gt;=30,"MEDIUM","LOW")))</f>
        <v/>
      </c>
    </row>
    <row r="2946">
      <c r="A2946" t="n">
        <v>2945</v>
      </c>
      <c r="R2946">
        <f>IF(Q2946="","",IF(Q2946&gt;=60,"HIGH",IF(Q2946&gt;=30,"MEDIUM","LOW")))</f>
        <v/>
      </c>
    </row>
    <row r="2947">
      <c r="A2947" t="n">
        <v>2946</v>
      </c>
      <c r="R2947">
        <f>IF(Q2947="","",IF(Q2947&gt;=60,"HIGH",IF(Q2947&gt;=30,"MEDIUM","LOW")))</f>
        <v/>
      </c>
    </row>
    <row r="2948">
      <c r="A2948" t="n">
        <v>2947</v>
      </c>
      <c r="R2948">
        <f>IF(Q2948="","",IF(Q2948&gt;=60,"HIGH",IF(Q2948&gt;=30,"MEDIUM","LOW")))</f>
        <v/>
      </c>
    </row>
    <row r="2949">
      <c r="A2949" t="n">
        <v>2948</v>
      </c>
      <c r="R2949">
        <f>IF(Q2949="","",IF(Q2949&gt;=60,"HIGH",IF(Q2949&gt;=30,"MEDIUM","LOW")))</f>
        <v/>
      </c>
    </row>
    <row r="2950">
      <c r="A2950" t="n">
        <v>2949</v>
      </c>
      <c r="R2950">
        <f>IF(Q2950="","",IF(Q2950&gt;=60,"HIGH",IF(Q2950&gt;=30,"MEDIUM","LOW")))</f>
        <v/>
      </c>
    </row>
    <row r="2951">
      <c r="A2951" t="n">
        <v>2950</v>
      </c>
      <c r="R2951">
        <f>IF(Q2951="","",IF(Q2951&gt;=60,"HIGH",IF(Q2951&gt;=30,"MEDIUM","LOW")))</f>
        <v/>
      </c>
    </row>
    <row r="2952">
      <c r="A2952" t="n">
        <v>2951</v>
      </c>
      <c r="R2952">
        <f>IF(Q2952="","",IF(Q2952&gt;=60,"HIGH",IF(Q2952&gt;=30,"MEDIUM","LOW")))</f>
        <v/>
      </c>
    </row>
    <row r="2953">
      <c r="A2953" t="n">
        <v>2952</v>
      </c>
      <c r="R2953">
        <f>IF(Q2953="","",IF(Q2953&gt;=60,"HIGH",IF(Q2953&gt;=30,"MEDIUM","LOW")))</f>
        <v/>
      </c>
    </row>
    <row r="2954">
      <c r="A2954" t="n">
        <v>2953</v>
      </c>
      <c r="R2954">
        <f>IF(Q2954="","",IF(Q2954&gt;=60,"HIGH",IF(Q2954&gt;=30,"MEDIUM","LOW")))</f>
        <v/>
      </c>
    </row>
    <row r="2955">
      <c r="A2955" t="n">
        <v>2954</v>
      </c>
      <c r="R2955">
        <f>IF(Q2955="","",IF(Q2955&gt;=60,"HIGH",IF(Q2955&gt;=30,"MEDIUM","LOW")))</f>
        <v/>
      </c>
    </row>
    <row r="2956">
      <c r="A2956" t="n">
        <v>2955</v>
      </c>
      <c r="R2956">
        <f>IF(Q2956="","",IF(Q2956&gt;=60,"HIGH",IF(Q2956&gt;=30,"MEDIUM","LOW")))</f>
        <v/>
      </c>
    </row>
    <row r="2957">
      <c r="A2957" t="n">
        <v>2956</v>
      </c>
      <c r="R2957">
        <f>IF(Q2957="","",IF(Q2957&gt;=60,"HIGH",IF(Q2957&gt;=30,"MEDIUM","LOW")))</f>
        <v/>
      </c>
    </row>
    <row r="2958">
      <c r="A2958" t="n">
        <v>2957</v>
      </c>
      <c r="R2958">
        <f>IF(Q2958="","",IF(Q2958&gt;=60,"HIGH",IF(Q2958&gt;=30,"MEDIUM","LOW")))</f>
        <v/>
      </c>
    </row>
    <row r="2959">
      <c r="A2959" t="n">
        <v>2958</v>
      </c>
      <c r="R2959">
        <f>IF(Q2959="","",IF(Q2959&gt;=60,"HIGH",IF(Q2959&gt;=30,"MEDIUM","LOW")))</f>
        <v/>
      </c>
    </row>
    <row r="2960">
      <c r="A2960" t="n">
        <v>2959</v>
      </c>
      <c r="R2960">
        <f>IF(Q2960="","",IF(Q2960&gt;=60,"HIGH",IF(Q2960&gt;=30,"MEDIUM","LOW")))</f>
        <v/>
      </c>
    </row>
    <row r="2961">
      <c r="A2961" t="n">
        <v>2960</v>
      </c>
      <c r="R2961">
        <f>IF(Q2961="","",IF(Q2961&gt;=60,"HIGH",IF(Q2961&gt;=30,"MEDIUM","LOW")))</f>
        <v/>
      </c>
    </row>
    <row r="2962">
      <c r="A2962" t="n">
        <v>2961</v>
      </c>
      <c r="R2962">
        <f>IF(Q2962="","",IF(Q2962&gt;=60,"HIGH",IF(Q2962&gt;=30,"MEDIUM","LOW")))</f>
        <v/>
      </c>
    </row>
    <row r="2963">
      <c r="A2963" t="n">
        <v>2962</v>
      </c>
      <c r="R2963">
        <f>IF(Q2963="","",IF(Q2963&gt;=60,"HIGH",IF(Q2963&gt;=30,"MEDIUM","LOW")))</f>
        <v/>
      </c>
    </row>
    <row r="2964">
      <c r="A2964" t="n">
        <v>2963</v>
      </c>
      <c r="R2964">
        <f>IF(Q2964="","",IF(Q2964&gt;=60,"HIGH",IF(Q2964&gt;=30,"MEDIUM","LOW")))</f>
        <v/>
      </c>
    </row>
    <row r="2965">
      <c r="A2965" t="n">
        <v>2964</v>
      </c>
      <c r="R2965">
        <f>IF(Q2965="","",IF(Q2965&gt;=60,"HIGH",IF(Q2965&gt;=30,"MEDIUM","LOW")))</f>
        <v/>
      </c>
    </row>
    <row r="2966">
      <c r="A2966" t="n">
        <v>2965</v>
      </c>
      <c r="R2966">
        <f>IF(Q2966="","",IF(Q2966&gt;=60,"HIGH",IF(Q2966&gt;=30,"MEDIUM","LOW")))</f>
        <v/>
      </c>
    </row>
    <row r="2967">
      <c r="A2967" t="n">
        <v>2966</v>
      </c>
      <c r="R2967">
        <f>IF(Q2967="","",IF(Q2967&gt;=60,"HIGH",IF(Q2967&gt;=30,"MEDIUM","LOW")))</f>
        <v/>
      </c>
    </row>
    <row r="2968">
      <c r="A2968" t="n">
        <v>2967</v>
      </c>
      <c r="R2968">
        <f>IF(Q2968="","",IF(Q2968&gt;=60,"HIGH",IF(Q2968&gt;=30,"MEDIUM","LOW")))</f>
        <v/>
      </c>
    </row>
    <row r="2969">
      <c r="A2969" t="n">
        <v>2968</v>
      </c>
      <c r="R2969">
        <f>IF(Q2969="","",IF(Q2969&gt;=60,"HIGH",IF(Q2969&gt;=30,"MEDIUM","LOW")))</f>
        <v/>
      </c>
    </row>
    <row r="2970">
      <c r="A2970" t="n">
        <v>2969</v>
      </c>
      <c r="R2970">
        <f>IF(Q2970="","",IF(Q2970&gt;=60,"HIGH",IF(Q2970&gt;=30,"MEDIUM","LOW")))</f>
        <v/>
      </c>
    </row>
    <row r="2971">
      <c r="A2971" t="n">
        <v>2970</v>
      </c>
      <c r="R2971">
        <f>IF(Q2971="","",IF(Q2971&gt;=60,"HIGH",IF(Q2971&gt;=30,"MEDIUM","LOW")))</f>
        <v/>
      </c>
    </row>
    <row r="2972">
      <c r="A2972" t="n">
        <v>2971</v>
      </c>
      <c r="R2972">
        <f>IF(Q2972="","",IF(Q2972&gt;=60,"HIGH",IF(Q2972&gt;=30,"MEDIUM","LOW")))</f>
        <v/>
      </c>
    </row>
    <row r="2973">
      <c r="A2973" t="n">
        <v>2972</v>
      </c>
      <c r="R2973">
        <f>IF(Q2973="","",IF(Q2973&gt;=60,"HIGH",IF(Q2973&gt;=30,"MEDIUM","LOW")))</f>
        <v/>
      </c>
    </row>
    <row r="2974">
      <c r="A2974" t="n">
        <v>2973</v>
      </c>
      <c r="R2974">
        <f>IF(Q2974="","",IF(Q2974&gt;=60,"HIGH",IF(Q2974&gt;=30,"MEDIUM","LOW")))</f>
        <v/>
      </c>
    </row>
    <row r="2975">
      <c r="A2975" t="n">
        <v>2974</v>
      </c>
      <c r="R2975">
        <f>IF(Q2975="","",IF(Q2975&gt;=60,"HIGH",IF(Q2975&gt;=30,"MEDIUM","LOW")))</f>
        <v/>
      </c>
    </row>
    <row r="2976">
      <c r="A2976" t="n">
        <v>2975</v>
      </c>
      <c r="R2976">
        <f>IF(Q2976="","",IF(Q2976&gt;=60,"HIGH",IF(Q2976&gt;=30,"MEDIUM","LOW")))</f>
        <v/>
      </c>
    </row>
    <row r="2977">
      <c r="A2977" t="n">
        <v>2976</v>
      </c>
      <c r="R2977">
        <f>IF(Q2977="","",IF(Q2977&gt;=60,"HIGH",IF(Q2977&gt;=30,"MEDIUM","LOW")))</f>
        <v/>
      </c>
    </row>
    <row r="2978">
      <c r="A2978" t="n">
        <v>2977</v>
      </c>
      <c r="R2978">
        <f>IF(Q2978="","",IF(Q2978&gt;=60,"HIGH",IF(Q2978&gt;=30,"MEDIUM","LOW")))</f>
        <v/>
      </c>
    </row>
    <row r="2979">
      <c r="A2979" t="n">
        <v>2978</v>
      </c>
      <c r="R2979">
        <f>IF(Q2979="","",IF(Q2979&gt;=60,"HIGH",IF(Q2979&gt;=30,"MEDIUM","LOW")))</f>
        <v/>
      </c>
    </row>
    <row r="2980">
      <c r="A2980" t="n">
        <v>2979</v>
      </c>
      <c r="R2980">
        <f>IF(Q2980="","",IF(Q2980&gt;=60,"HIGH",IF(Q2980&gt;=30,"MEDIUM","LOW")))</f>
        <v/>
      </c>
    </row>
    <row r="2981">
      <c r="A2981" t="n">
        <v>2980</v>
      </c>
      <c r="R2981">
        <f>IF(Q2981="","",IF(Q2981&gt;=60,"HIGH",IF(Q2981&gt;=30,"MEDIUM","LOW")))</f>
        <v/>
      </c>
    </row>
    <row r="2982">
      <c r="A2982" t="n">
        <v>2981</v>
      </c>
      <c r="R2982">
        <f>IF(Q2982="","",IF(Q2982&gt;=60,"HIGH",IF(Q2982&gt;=30,"MEDIUM","LOW")))</f>
        <v/>
      </c>
    </row>
    <row r="2983">
      <c r="A2983" t="n">
        <v>2982</v>
      </c>
      <c r="R2983">
        <f>IF(Q2983="","",IF(Q2983&gt;=60,"HIGH",IF(Q2983&gt;=30,"MEDIUM","LOW")))</f>
        <v/>
      </c>
    </row>
    <row r="2984">
      <c r="A2984" t="n">
        <v>2983</v>
      </c>
      <c r="R2984">
        <f>IF(Q2984="","",IF(Q2984&gt;=60,"HIGH",IF(Q2984&gt;=30,"MEDIUM","LOW")))</f>
        <v/>
      </c>
    </row>
    <row r="2985">
      <c r="A2985" t="n">
        <v>2984</v>
      </c>
      <c r="R2985">
        <f>IF(Q2985="","",IF(Q2985&gt;=60,"HIGH",IF(Q2985&gt;=30,"MEDIUM","LOW")))</f>
        <v/>
      </c>
    </row>
    <row r="2986">
      <c r="A2986" t="n">
        <v>2985</v>
      </c>
      <c r="R2986">
        <f>IF(Q2986="","",IF(Q2986&gt;=60,"HIGH",IF(Q2986&gt;=30,"MEDIUM","LOW")))</f>
        <v/>
      </c>
    </row>
    <row r="2987">
      <c r="A2987" t="n">
        <v>2986</v>
      </c>
      <c r="R2987">
        <f>IF(Q2987="","",IF(Q2987&gt;=60,"HIGH",IF(Q2987&gt;=30,"MEDIUM","LOW")))</f>
        <v/>
      </c>
    </row>
    <row r="2988">
      <c r="A2988" t="n">
        <v>2987</v>
      </c>
      <c r="R2988">
        <f>IF(Q2988="","",IF(Q2988&gt;=60,"HIGH",IF(Q2988&gt;=30,"MEDIUM","LOW")))</f>
        <v/>
      </c>
    </row>
    <row r="2989">
      <c r="A2989" t="n">
        <v>2988</v>
      </c>
      <c r="R2989">
        <f>IF(Q2989="","",IF(Q2989&gt;=60,"HIGH",IF(Q2989&gt;=30,"MEDIUM","LOW")))</f>
        <v/>
      </c>
    </row>
    <row r="2990">
      <c r="A2990" t="n">
        <v>2989</v>
      </c>
      <c r="R2990">
        <f>IF(Q2990="","",IF(Q2990&gt;=60,"HIGH",IF(Q2990&gt;=30,"MEDIUM","LOW")))</f>
        <v/>
      </c>
    </row>
    <row r="2991">
      <c r="A2991" t="n">
        <v>2990</v>
      </c>
      <c r="R2991">
        <f>IF(Q2991="","",IF(Q2991&gt;=60,"HIGH",IF(Q2991&gt;=30,"MEDIUM","LOW")))</f>
        <v/>
      </c>
    </row>
    <row r="2992">
      <c r="A2992" t="n">
        <v>2991</v>
      </c>
      <c r="R2992">
        <f>IF(Q2992="","",IF(Q2992&gt;=60,"HIGH",IF(Q2992&gt;=30,"MEDIUM","LOW")))</f>
        <v/>
      </c>
    </row>
    <row r="2993">
      <c r="A2993" t="n">
        <v>2992</v>
      </c>
      <c r="R2993">
        <f>IF(Q2993="","",IF(Q2993&gt;=60,"HIGH",IF(Q2993&gt;=30,"MEDIUM","LOW")))</f>
        <v/>
      </c>
    </row>
    <row r="2994">
      <c r="A2994" t="n">
        <v>2993</v>
      </c>
      <c r="R2994">
        <f>IF(Q2994="","",IF(Q2994&gt;=60,"HIGH",IF(Q2994&gt;=30,"MEDIUM","LOW")))</f>
        <v/>
      </c>
    </row>
    <row r="2995">
      <c r="A2995" t="n">
        <v>2994</v>
      </c>
      <c r="R2995">
        <f>IF(Q2995="","",IF(Q2995&gt;=60,"HIGH",IF(Q2995&gt;=30,"MEDIUM","LOW")))</f>
        <v/>
      </c>
    </row>
    <row r="2996">
      <c r="A2996" t="n">
        <v>2995</v>
      </c>
      <c r="R2996">
        <f>IF(Q2996="","",IF(Q2996&gt;=60,"HIGH",IF(Q2996&gt;=30,"MEDIUM","LOW")))</f>
        <v/>
      </c>
    </row>
    <row r="2997">
      <c r="A2997" t="n">
        <v>2996</v>
      </c>
      <c r="R2997">
        <f>IF(Q2997="","",IF(Q2997&gt;=60,"HIGH",IF(Q2997&gt;=30,"MEDIUM","LOW")))</f>
        <v/>
      </c>
    </row>
    <row r="2998">
      <c r="A2998" t="n">
        <v>2997</v>
      </c>
      <c r="R2998">
        <f>IF(Q2998="","",IF(Q2998&gt;=60,"HIGH",IF(Q2998&gt;=30,"MEDIUM","LOW")))</f>
        <v/>
      </c>
    </row>
    <row r="2999">
      <c r="A2999" t="n">
        <v>2998</v>
      </c>
      <c r="R2999">
        <f>IF(Q2999="","",IF(Q2999&gt;=60,"HIGH",IF(Q2999&gt;=30,"MEDIUM","LOW")))</f>
        <v/>
      </c>
    </row>
    <row r="3000">
      <c r="A3000" t="n">
        <v>2999</v>
      </c>
      <c r="R3000">
        <f>IF(Q3000="","",IF(Q3000&gt;=60,"HIGH",IF(Q3000&gt;=30,"MEDIUM","LOW")))</f>
        <v/>
      </c>
    </row>
    <row r="3001">
      <c r="A3001" t="n">
        <v>3000</v>
      </c>
      <c r="R3001">
        <f>IF(Q3001="","",IF(Q3001&gt;=60,"HIGH",IF(Q3001&gt;=30,"MEDIUM","LOW")))</f>
        <v/>
      </c>
    </row>
  </sheetData>
  <autoFilter ref="A1:U1"/>
  <conditionalFormatting sqref="Q2:Q181">
    <cfRule type="colorScale" priority="1">
      <colorScale>
        <cfvo type="num" val="0"/>
        <cfvo type="num" val="50"/>
        <cfvo type="num" val="100"/>
        <color rgb="00C6EFCE"/>
        <color rgb="00FFF2CC"/>
        <color rgb="00FFC7CE"/>
      </colorScale>
    </cfRule>
  </conditionalFormatting>
  <dataValidations count="4">
    <dataValidation sqref="D2:D3001" showDropDown="0" showInputMessage="0" showErrorMessage="0" allowBlank="1" type="list">
      <formula1>"Manufacturer,Exporter"</formula1>
    </dataValidation>
    <dataValidation sqref="C2:C3001" showDropDown="0" showInputMessage="0" showErrorMessage="0" allowBlank="1" type="list">
      <formula1>"Malaysia,Turkey,China,India,Egypt"</formula1>
    </dataValidation>
    <dataValidation sqref="E2:E3001" showDropDown="0" showInputMessage="0" showErrorMessage="0" allowBlank="1" type="list">
      <formula1>"Wound Care,Syringes &amp; Needles,IV Cannulas,IV Infusion Sets,Catheters,Gloves,PPE,Gauze &amp; Bandages,Disinfectants,Lab Consumables"</formula1>
    </dataValidation>
    <dataValidation sqref="S2:S3001" showDropDown="0" showInputMessage="0" showErrorMessage="0" allowBlank="1" type="list">
      <formula1>"New,RFQ_Sent,Responded,Shortlisted,Rejected,Sample_Requested,Approved"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22" customWidth="1" min="4" max="4"/>
    <col width="30" customWidth="1" min="5" max="5"/>
    <col width="14" customWidth="1" min="6" max="6"/>
  </cols>
  <sheetData>
    <row r="1">
      <c r="A1" s="4" t="inlineStr">
        <is>
          <t>Seed URLs (Fix A) — paste directory/company pages here (500+). Scraper will extract emails + map categories and fill Supplier_Intelligence up to 180.</t>
        </is>
      </c>
    </row>
    <row r="2">
      <c r="A2" s="3" t="inlineStr">
        <is>
          <t>Source_Name</t>
        </is>
      </c>
      <c r="B2" s="3" t="inlineStr">
        <is>
          <t>Country</t>
        </is>
      </c>
      <c r="C2" s="3" t="inlineStr">
        <is>
          <t>URL</t>
        </is>
      </c>
      <c r="D2" s="3" t="inlineStr">
        <is>
          <t>Category_Hint</t>
        </is>
      </c>
      <c r="E2" s="3" t="inlineStr">
        <is>
          <t>Notes</t>
        </is>
      </c>
      <c r="F2" s="3" t="inlineStr">
        <is>
          <t>Use (TRUE/FALSE)</t>
        </is>
      </c>
    </row>
    <row r="3">
      <c r="A3" t="inlineStr">
        <is>
          <t>Medzell</t>
        </is>
      </c>
      <c r="C3" t="inlineStr">
        <is>
          <t>https://www.medzell.net/sitemap.xml</t>
        </is>
      </c>
      <c r="E3" t="inlineStr">
        <is>
          <t>seed sitemap</t>
        </is>
      </c>
      <c r="F3" t="inlineStr">
        <is>
          <t>TRUE</t>
        </is>
      </c>
    </row>
    <row r="4">
      <c r="A4" t="inlineStr">
        <is>
          <t>Turkey_TurkishHealthcare</t>
        </is>
      </c>
      <c r="B4" t="inlineStr">
        <is>
          <t>Turkey</t>
        </is>
      </c>
      <c r="C4" t="inlineStr">
        <is>
          <t>https://turkishhealthcare.org/companies</t>
        </is>
      </c>
      <c r="E4" t="inlineStr">
        <is>
          <t>directory start</t>
        </is>
      </c>
      <c r="F4" t="inlineStr">
        <is>
          <t>TRUE</t>
        </is>
      </c>
    </row>
    <row r="5">
      <c r="A5" t="inlineStr">
        <is>
          <t>Malaysia_MMDA</t>
        </is>
      </c>
      <c r="B5" t="inlineStr">
        <is>
          <t>Malaysia</t>
        </is>
      </c>
      <c r="C5" t="inlineStr">
        <is>
          <t>https://mmda.org.my/mmda-members-list/</t>
        </is>
      </c>
      <c r="E5" t="inlineStr">
        <is>
          <t>directory start</t>
        </is>
      </c>
      <c r="F5" t="inlineStr">
        <is>
          <t>TRUE</t>
        </is>
      </c>
    </row>
    <row r="6">
      <c r="A6" t="inlineStr">
        <is>
          <t>China_CAMDI</t>
        </is>
      </c>
      <c r="B6" t="inlineStr">
        <is>
          <t>China</t>
        </is>
      </c>
      <c r="C6" t="inlineStr">
        <is>
          <t>https://en.camdi.cn/member/index</t>
        </is>
      </c>
      <c r="E6" t="inlineStr">
        <is>
          <t>directory start</t>
        </is>
      </c>
      <c r="F6" t="inlineStr">
        <is>
          <t>TRUE</t>
        </is>
      </c>
    </row>
    <row r="7">
      <c r="A7" t="inlineStr">
        <is>
          <t>France_SNITEM</t>
        </is>
      </c>
      <c r="B7" t="inlineStr">
        <is>
          <t>France</t>
        </is>
      </c>
      <c r="C7" t="inlineStr">
        <is>
          <t>https://www.snitem.fr/adherer/entreprises-adherentes/</t>
        </is>
      </c>
      <c r="E7" t="inlineStr">
        <is>
          <t>directory start</t>
        </is>
      </c>
      <c r="F7" t="inlineStr">
        <is>
          <t>TRUE</t>
        </is>
      </c>
    </row>
    <row r="8">
      <c r="A8" t="inlineStr">
        <is>
          <t>Italy_ConfindustriaDM</t>
        </is>
      </c>
      <c r="B8" t="inlineStr">
        <is>
          <t>Italy</t>
        </is>
      </c>
      <c r="C8" t="inlineStr">
        <is>
          <t>https://www.confindustriadm.it/le-aziende/</t>
        </is>
      </c>
      <c r="E8" t="inlineStr">
        <is>
          <t>directory start</t>
        </is>
      </c>
      <c r="F8" t="inlineStr">
        <is>
          <t>TRUE</t>
        </is>
      </c>
    </row>
    <row r="9">
      <c r="A9" t="inlineStr">
        <is>
          <t>Spain_FENIN</t>
        </is>
      </c>
      <c r="B9" t="inlineStr">
        <is>
          <t>Spain</t>
        </is>
      </c>
      <c r="C9" t="inlineStr">
        <is>
          <t>https://fenin.es/socios/</t>
        </is>
      </c>
      <c r="E9" t="inlineStr">
        <is>
          <t>directory start</t>
        </is>
      </c>
      <c r="F9" t="inlineStr">
        <is>
          <t>TRUE</t>
        </is>
      </c>
    </row>
    <row r="10">
      <c r="A10" t="inlineStr">
        <is>
          <t>UK_ABHI</t>
        </is>
      </c>
      <c r="B10" t="inlineStr">
        <is>
          <t>United Kingdom</t>
        </is>
      </c>
      <c r="C10" t="inlineStr">
        <is>
          <t>https://www.abhi.org.uk/membership/member-search/</t>
        </is>
      </c>
      <c r="E10" t="inlineStr">
        <is>
          <t>directory start</t>
        </is>
      </c>
      <c r="F10" t="inlineStr">
        <is>
          <t>TRUE</t>
        </is>
      </c>
    </row>
    <row r="11">
      <c r="A11" t="inlineStr">
        <is>
          <t>Germany_SPECTARIS</t>
        </is>
      </c>
      <c r="B11" t="inlineStr">
        <is>
          <t>Germany</t>
        </is>
      </c>
      <c r="C11" t="inlineStr">
        <is>
          <t>https://www.spectaris.de/verband/mitglieder</t>
        </is>
      </c>
      <c r="E11" t="inlineStr">
        <is>
          <t>directory start</t>
        </is>
      </c>
      <c r="F11" t="inlineStr">
        <is>
          <t>TRUE</t>
        </is>
      </c>
    </row>
    <row r="12">
      <c r="A12" t="inlineStr">
        <is>
          <t>Egypt_CCI</t>
        </is>
      </c>
      <c r="B12" t="inlineStr">
        <is>
          <t>Egypt</t>
        </is>
      </c>
      <c r="C12" t="inlineStr">
        <is>
          <t>https://cci-egypt.org/membership/members-profiles/all-cci-members</t>
        </is>
      </c>
      <c r="E12" t="inlineStr">
        <is>
          <t>directory start</t>
        </is>
      </c>
      <c r="F12" t="inlineStr">
        <is>
          <t>TRUE</t>
        </is>
      </c>
    </row>
  </sheetData>
  <mergeCells count="1">
    <mergeCell ref="A1:F1"/>
  </mergeCells>
  <dataValidations count="1">
    <dataValidation sqref="F3:F602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58" customWidth="1" min="3" max="3"/>
    <col width="10" customWidth="1" min="4" max="4"/>
    <col width="10" customWidth="1" min="5" max="5"/>
    <col width="12" customWidth="1" min="6" max="6"/>
    <col width="48" customWidth="1" min="7" max="7"/>
  </cols>
  <sheetData>
    <row r="1">
      <c r="A1" s="3" t="inlineStr">
        <is>
          <t>Source_Name</t>
        </is>
      </c>
      <c r="B1" s="3" t="inlineStr">
        <is>
          <t>Base_URL</t>
        </is>
      </c>
      <c r="C1" s="3" t="inlineStr">
        <is>
          <t>Strategy</t>
        </is>
      </c>
      <c r="D1" s="3" t="inlineStr">
        <is>
          <t>Max_Items</t>
        </is>
      </c>
      <c r="E1" s="3" t="inlineStr">
        <is>
          <t>Max_Pages</t>
        </is>
      </c>
      <c r="F1" s="3" t="inlineStr">
        <is>
          <t>Delay_Seconds</t>
        </is>
      </c>
      <c r="G1" s="3" t="inlineStr">
        <is>
          <t>Notes</t>
        </is>
      </c>
    </row>
    <row r="2">
      <c r="A2" t="inlineStr">
        <is>
          <t>Medzell</t>
        </is>
      </c>
      <c r="B2" t="inlineStr">
        <is>
          <t>https://www.medzell.net/</t>
        </is>
      </c>
      <c r="C2" t="inlineStr">
        <is>
          <t>sitemap_company_pages</t>
        </is>
      </c>
      <c r="D2" t="n">
        <v>3000</v>
      </c>
      <c r="E2" t="n">
        <v>0</v>
      </c>
      <c r="F2" t="n">
        <v>0.5</v>
      </c>
      <c r="G2" t="inlineStr">
        <is>
          <t>Malaysia glove manufacturers; high yield</t>
        </is>
      </c>
    </row>
    <row r="3">
      <c r="A3" t="inlineStr">
        <is>
          <t>Turkey_TurkishHealthcare</t>
        </is>
      </c>
      <c r="B3" t="inlineStr">
        <is>
          <t>https://turkishhealthcare.org/companies</t>
        </is>
      </c>
      <c r="C3" t="inlineStr">
        <is>
          <t>directory</t>
        </is>
      </c>
      <c r="D3" t="n">
        <v>3000</v>
      </c>
      <c r="E3" t="n">
        <v>200</v>
      </c>
      <c r="F3" t="n">
        <v>0.8</v>
      </c>
      <c r="G3" t="inlineStr">
        <is>
          <t>Turkey manufacturers/exporters; moderate yield</t>
        </is>
      </c>
    </row>
    <row r="4">
      <c r="A4" t="inlineStr">
        <is>
          <t>Malaysia_MMDA</t>
        </is>
      </c>
      <c r="B4" t="inlineStr">
        <is>
          <t>https://mmda.org.my/mmda-members-list/</t>
        </is>
      </c>
      <c r="C4" t="inlineStr">
        <is>
          <t>directory</t>
        </is>
      </c>
      <c r="D4" t="n">
        <v>3000</v>
      </c>
      <c r="E4" t="n">
        <v>0</v>
      </c>
      <c r="F4" t="n">
        <v>0.8</v>
      </c>
      <c r="G4" t="inlineStr">
        <is>
          <t>Add Medzell company URLs into Seed_URLs</t>
        </is>
      </c>
    </row>
    <row r="5">
      <c r="A5" t="inlineStr">
        <is>
          <t>China_CAMDI</t>
        </is>
      </c>
      <c r="B5" t="inlineStr">
        <is>
          <t>https://en.camdi.cn/member/index</t>
        </is>
      </c>
      <c r="C5" t="inlineStr">
        <is>
          <t>directory_paginated</t>
        </is>
      </c>
      <c r="D5" t="n">
        <v>3000</v>
      </c>
      <c r="E5" t="n">
        <v>50</v>
      </c>
      <c r="F5" t="n">
        <v>1</v>
      </c>
      <c r="G5" t="inlineStr">
        <is>
          <t>Paste exhibitor profile URLs into Seed_URLs</t>
        </is>
      </c>
    </row>
    <row r="6">
      <c r="A6" t="inlineStr">
        <is>
          <t>France_SNITEM</t>
        </is>
      </c>
      <c r="B6" t="inlineStr">
        <is>
          <t>https://www.snitem.fr/adherer/entreprises-adherentes/</t>
        </is>
      </c>
      <c r="C6" t="inlineStr">
        <is>
          <t>directory</t>
        </is>
      </c>
      <c r="D6" t="n">
        <v>3000</v>
      </c>
      <c r="E6" t="n">
        <v>0</v>
      </c>
      <c r="F6" t="n">
        <v>1</v>
      </c>
      <c r="G6" t="inlineStr">
        <is>
          <t>Paste exhibitor profile URLs into Seed_URLs</t>
        </is>
      </c>
    </row>
    <row r="7">
      <c r="A7" t="inlineStr">
        <is>
          <t>Italy_ConfindustriaDM</t>
        </is>
      </c>
      <c r="B7" t="inlineStr">
        <is>
          <t>https://www.confindustriadm.it/le-aziende/</t>
        </is>
      </c>
      <c r="C7" t="inlineStr">
        <is>
          <t>directory</t>
        </is>
      </c>
      <c r="D7" t="n">
        <v>3000</v>
      </c>
      <c r="E7" t="n">
        <v>0</v>
      </c>
      <c r="F7" t="n">
        <v>1</v>
      </c>
    </row>
    <row r="8">
      <c r="A8" t="inlineStr">
        <is>
          <t>Spain_FENIN</t>
        </is>
      </c>
      <c r="B8" t="inlineStr">
        <is>
          <t>https://fenin.es/socios/</t>
        </is>
      </c>
      <c r="C8" t="inlineStr">
        <is>
          <t>directory</t>
        </is>
      </c>
      <c r="D8" t="n">
        <v>3000</v>
      </c>
      <c r="E8" t="n">
        <v>80</v>
      </c>
      <c r="F8" t="n">
        <v>1</v>
      </c>
    </row>
    <row r="9">
      <c r="A9" t="inlineStr">
        <is>
          <t>UK_ABHI</t>
        </is>
      </c>
      <c r="B9" t="inlineStr">
        <is>
          <t>https://www.abhi.org.uk/membership/member-search/</t>
        </is>
      </c>
      <c r="C9" t="inlineStr">
        <is>
          <t>directory</t>
        </is>
      </c>
      <c r="D9" t="n">
        <v>3000</v>
      </c>
      <c r="E9" t="n">
        <v>80</v>
      </c>
      <c r="F9" t="n">
        <v>1</v>
      </c>
    </row>
    <row r="10">
      <c r="A10" t="inlineStr">
        <is>
          <t>Germany_SPECTARIS</t>
        </is>
      </c>
      <c r="B10" t="inlineStr">
        <is>
          <t>https://www.spectaris.de/verband/mitglieder</t>
        </is>
      </c>
      <c r="C10" t="inlineStr">
        <is>
          <t>directory</t>
        </is>
      </c>
      <c r="D10" t="n">
        <v>3000</v>
      </c>
      <c r="E10" t="n">
        <v>0</v>
      </c>
      <c r="F10" t="n">
        <v>1</v>
      </c>
    </row>
    <row r="11">
      <c r="A11" t="inlineStr">
        <is>
          <t>Egypt_CCI</t>
        </is>
      </c>
      <c r="B11" t="inlineStr">
        <is>
          <t>https://cci-egypt.org/membership/members-profiles/all-cci-members</t>
        </is>
      </c>
      <c r="C11" t="inlineStr">
        <is>
          <t>directory_paginated</t>
        </is>
      </c>
      <c r="D11" t="n">
        <v>3000</v>
      </c>
      <c r="E11" t="n">
        <v>100</v>
      </c>
      <c r="F11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  <col width="30" customWidth="1" min="3" max="3"/>
  </cols>
  <sheetData>
    <row r="1">
      <c r="A1" s="3" t="inlineStr">
        <is>
          <t>Category</t>
        </is>
      </c>
      <c r="B1" s="3" t="inlineStr">
        <is>
          <t>Keywords (comma-separated)</t>
        </is>
      </c>
      <c r="C1" s="3" t="inlineStr">
        <is>
          <t>Notes</t>
        </is>
      </c>
    </row>
    <row r="2">
      <c r="A2" t="inlineStr">
        <is>
          <t>Wound Care</t>
        </is>
      </c>
      <c r="B2" t="inlineStr">
        <is>
          <t>dressing, bandage, foam dressing, hydrocolloid, silicone dressing, wound, plaster</t>
        </is>
      </c>
    </row>
    <row r="3">
      <c r="A3" t="inlineStr">
        <is>
          <t>Syringes &amp; Needles</t>
        </is>
      </c>
      <c r="B3" t="inlineStr">
        <is>
          <t>syringe, needle, hypodermic, luer lock, luer slip, insulin syringe, scalp vein</t>
        </is>
      </c>
    </row>
    <row r="4">
      <c r="A4" t="inlineStr">
        <is>
          <t>IV Cannulas</t>
        </is>
      </c>
      <c r="B4" t="inlineStr">
        <is>
          <t>iv cannula, cannula, venflon, iv catheter</t>
        </is>
      </c>
    </row>
    <row r="5">
      <c r="A5" t="inlineStr">
        <is>
          <t>IV Infusion Sets</t>
        </is>
      </c>
      <c r="B5" t="inlineStr">
        <is>
          <t>infusion set, iv set, drip set, transfusion set, burette</t>
        </is>
      </c>
    </row>
    <row r="6">
      <c r="A6" t="inlineStr">
        <is>
          <t>Catheters</t>
        </is>
      </c>
      <c r="B6" t="inlineStr">
        <is>
          <t>foley, catheter, suction catheter, nelaton, urinary catheter, urology</t>
        </is>
      </c>
    </row>
    <row r="7">
      <c r="A7" t="inlineStr">
        <is>
          <t>Gloves</t>
        </is>
      </c>
      <c r="B7" t="inlineStr">
        <is>
          <t>nitrile glove, latex glove, vinyl glove, examination glove, surgical glove</t>
        </is>
      </c>
    </row>
    <row r="8">
      <c r="A8" t="inlineStr">
        <is>
          <t>PPE</t>
        </is>
      </c>
      <c r="B8" t="inlineStr">
        <is>
          <t>mask, respirator, gown, coverall, face shield, cap, shoe cover</t>
        </is>
      </c>
    </row>
    <row r="9">
      <c r="A9" t="inlineStr">
        <is>
          <t>Gauze &amp; Bandages</t>
        </is>
      </c>
      <c r="B9" t="inlineStr">
        <is>
          <t>gauze, gauze roll, gauze swab, bandage roll, crepe bandage, cotton</t>
        </is>
      </c>
    </row>
    <row r="10">
      <c r="A10" t="inlineStr">
        <is>
          <t>Disinfectants</t>
        </is>
      </c>
      <c r="B10" t="inlineStr">
        <is>
          <t>alcohol swab, disinfectant, sanitizer, antiseptic, povidone, chlorhexidine</t>
        </is>
      </c>
    </row>
    <row r="11">
      <c r="A11" t="inlineStr">
        <is>
          <t>Lab Consumables</t>
        </is>
      </c>
      <c r="B11" t="inlineStr">
        <is>
          <t>vacutainer, tube, pipette, specimen, lancet, sample cup, centrifuge tube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0" customWidth="1" min="3" max="3"/>
    <col width="85" customWidth="1" min="4" max="4"/>
  </cols>
  <sheetData>
    <row r="1">
      <c r="A1" s="3" t="inlineStr">
        <is>
          <t>Category</t>
        </is>
      </c>
      <c r="B1" s="3" t="inlineStr">
        <is>
          <t>Benchmark Source</t>
        </is>
      </c>
      <c r="C1" s="3" t="inlineStr">
        <is>
          <t>How to use</t>
        </is>
      </c>
      <c r="D1" s="3" t="inlineStr">
        <is>
          <t>Link/Reference</t>
        </is>
      </c>
    </row>
    <row r="2">
      <c r="A2" t="inlineStr">
        <is>
          <t>All categories</t>
        </is>
      </c>
      <c r="B2" t="inlineStr">
        <is>
          <t>UNICEF Supply Catalogue</t>
        </is>
      </c>
      <c r="C2" t="inlineStr">
        <is>
          <t>Sanity-check quote ranges; not landed cost</t>
        </is>
      </c>
      <c r="D2" t="inlineStr">
        <is>
          <t>https://supply.unicef.org/all-materials/medical-renewable.html?cat=2871&amp;p=2&amp;product_attributes=10</t>
        </is>
      </c>
    </row>
    <row r="3">
      <c r="A3" t="inlineStr">
        <is>
          <t>Gloves (example)</t>
        </is>
      </c>
      <c r="B3" t="inlineStr">
        <is>
          <t>UNICEF product page</t>
        </is>
      </c>
      <c r="C3" t="inlineStr">
        <is>
          <t>Sanity-check specs &amp; pricing display</t>
        </is>
      </c>
      <c r="D3" t="inlineStr">
        <is>
          <t>https://supply.unicef.org/s0330126.html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60" customWidth="1" min="4" max="4"/>
  </cols>
  <sheetData>
    <row r="1">
      <c r="A1" s="3" t="inlineStr">
        <is>
          <t>Factor</t>
        </is>
      </c>
      <c r="B1" s="3" t="inlineStr">
        <is>
          <t>Rule</t>
        </is>
      </c>
      <c r="C1" s="3" t="inlineStr">
        <is>
          <t>Points Added</t>
        </is>
      </c>
      <c r="D1" s="3" t="inlineStr">
        <is>
          <t>Rationale</t>
        </is>
      </c>
    </row>
    <row r="2">
      <c r="A2" t="inlineStr">
        <is>
          <t>Email quality</t>
        </is>
      </c>
      <c r="B2" t="inlineStr">
        <is>
          <t>Free email domain (gmail/yahoo) OR no company-domain email</t>
        </is>
      </c>
      <c r="C2" t="inlineStr">
        <is>
          <t>20</t>
        </is>
      </c>
      <c r="D2" t="inlineStr">
        <is>
          <t>Higher fraud/low-traceability risk</t>
        </is>
      </c>
    </row>
    <row r="3">
      <c r="A3" t="inlineStr">
        <is>
          <t>ISO 13485</t>
        </is>
      </c>
      <c r="B3" t="inlineStr">
        <is>
          <t>Not explicitly stated (or no evidence link)</t>
        </is>
      </c>
      <c r="C3" t="inlineStr">
        <is>
          <t>15</t>
        </is>
      </c>
      <c r="D3" t="inlineStr">
        <is>
          <t>Strong quality signal for medical devices</t>
        </is>
      </c>
    </row>
    <row r="4">
      <c r="A4" t="inlineStr">
        <is>
          <t>CE</t>
        </is>
      </c>
      <c r="B4" t="inlineStr">
        <is>
          <t>Not explicitly stated (or no evidence link)</t>
        </is>
      </c>
      <c r="C4" t="inlineStr">
        <is>
          <t>10</t>
        </is>
      </c>
      <c r="D4" t="inlineStr">
        <is>
          <t>Useful conformity signal (where applicable)</t>
        </is>
      </c>
    </row>
    <row r="5">
      <c r="A5" t="inlineStr">
        <is>
          <t>Evidence URL</t>
        </is>
      </c>
      <c r="B5" t="inlineStr">
        <is>
          <t>Missing evidence link for email/cert claims</t>
        </is>
      </c>
      <c r="C5" t="inlineStr">
        <is>
          <t>15</t>
        </is>
      </c>
      <c r="D5" t="inlineStr">
        <is>
          <t>Cannot verify quickly</t>
        </is>
      </c>
    </row>
    <row r="6">
      <c r="A6" t="inlineStr">
        <is>
          <t>Export experience</t>
        </is>
      </c>
      <c r="B6" t="inlineStr">
        <is>
          <t>No explicit export markets/clients stated</t>
        </is>
      </c>
      <c r="C6" t="inlineStr">
        <is>
          <t>10</t>
        </is>
      </c>
      <c r="D6" t="inlineStr">
        <is>
          <t>Unknown export handling maturity</t>
        </is>
      </c>
    </row>
    <row r="7">
      <c r="A7" t="inlineStr">
        <is>
          <t>Supplier type</t>
        </is>
      </c>
      <c r="B7" t="inlineStr">
        <is>
          <t>Exporter without manufacturer disclosure</t>
        </is>
      </c>
      <c r="C7" t="inlineStr">
        <is>
          <t>10</t>
        </is>
      </c>
      <c r="D7" t="inlineStr">
        <is>
          <t>Need factory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70" customWidth="1" min="4" max="4"/>
  </cols>
  <sheetData>
    <row r="1">
      <c r="A1" s="3" t="inlineStr">
        <is>
          <t>Run_Timestamp</t>
        </is>
      </c>
      <c r="B1" s="3" t="inlineStr">
        <is>
          <t>Rows_Filled</t>
        </is>
      </c>
      <c r="C1" s="3" t="inlineStr">
        <is>
          <t>Sources_Used</t>
        </is>
      </c>
      <c r="D1" s="3" t="inlineStr">
        <is>
          <t>Notes</t>
        </is>
      </c>
    </row>
    <row r="2">
      <c r="A2" t="inlineStr">
        <is>
          <t>2026-03-04T20:40:09.227035Z</t>
        </is>
      </c>
      <c r="D2" t="inlineStr">
        <is>
          <t>Workbook generated. Run scraper in Codespaces to populate Supplier_Intelligence.</t>
        </is>
      </c>
    </row>
    <row r="3">
      <c r="A3" t="inlineStr">
        <is>
          <t>2026-03-05T00:21:02.419940+00:00</t>
        </is>
      </c>
      <c r="B3" t="n">
        <v>0</v>
      </c>
      <c r="C3" t="inlineStr">
        <is>
          <t>MULTI|Malaysia|append</t>
        </is>
      </c>
      <c r="D3" t="inlineStr">
        <is>
          <t>Visited 1 seeds; wrote 0 NEW suppliers. limit=300 delay=0.8s</t>
        </is>
      </c>
    </row>
    <row r="4">
      <c r="A4" t="inlineStr">
        <is>
          <t>2026-03-05T00:21:06.145195+00:00</t>
        </is>
      </c>
      <c r="B4" t="n">
        <v>0</v>
      </c>
      <c r="C4" t="inlineStr">
        <is>
          <t>MULTI|Turkey|append</t>
        </is>
      </c>
      <c r="D4" t="inlineStr">
        <is>
          <t>Visited 1 seeds; wrote 0 NEW suppliers. limit=300 delay=0.8s</t>
        </is>
      </c>
    </row>
    <row r="5">
      <c r="A5" t="inlineStr">
        <is>
          <t>2026-03-05T00:21:10.167447+00:00</t>
        </is>
      </c>
      <c r="B5" t="n">
        <v>0</v>
      </c>
      <c r="C5" t="inlineStr">
        <is>
          <t>MULTI|China|append</t>
        </is>
      </c>
      <c r="D5" t="inlineStr">
        <is>
          <t>Visited 1 seeds; wrote 0 NEW suppliers. limit=300 delay=0.8s</t>
        </is>
      </c>
    </row>
    <row r="6">
      <c r="A6" t="inlineStr">
        <is>
          <t>2026-03-05T00:43:16.908770+00:00</t>
        </is>
      </c>
      <c r="B6" t="n">
        <v>441</v>
      </c>
      <c r="C6" t="inlineStr">
        <is>
          <t>Medzell|ALL|append</t>
        </is>
      </c>
      <c r="D6" t="inlineStr">
        <is>
          <t>Visited 629 seeds; wrote 441 NEW suppliers. limit=600 delay=0.5s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Outreach Batch Builder (filters + export-ready list)</t>
        </is>
      </c>
    </row>
    <row r="2">
      <c r="J2" t="inlineStr">
        <is>
          <t>Categories</t>
        </is>
      </c>
      <c r="K2" t="inlineStr">
        <is>
          <t>Countries</t>
        </is>
      </c>
      <c r="L2" t="inlineStr">
        <is>
          <t>RiskLevels</t>
        </is>
      </c>
    </row>
    <row r="3">
      <c r="A3" t="inlineStr">
        <is>
          <t>Primary Category</t>
        </is>
      </c>
      <c r="D3" t="inlineStr">
        <is>
          <t>Filtered suppliers (Excel 365 dynamic formula). If your Excel doesn't support this, use the Python exporter script.</t>
        </is>
      </c>
      <c r="J3" t="inlineStr">
        <is>
          <t>Wound Care</t>
        </is>
      </c>
      <c r="K3" t="inlineStr">
        <is>
          <t>Malaysia</t>
        </is>
      </c>
      <c r="L3" t="inlineStr">
        <is>
          <t>LOW</t>
        </is>
      </c>
    </row>
    <row r="4">
      <c r="A4" t="inlineStr">
        <is>
          <t>Country</t>
        </is>
      </c>
      <c r="D4" t="inlineStr">
        <is>
          <t>Company</t>
        </is>
      </c>
      <c r="E4" t="inlineStr">
        <is>
          <t>Email(s)</t>
        </is>
      </c>
      <c r="F4" t="inlineStr">
        <is>
          <t>Country</t>
        </is>
      </c>
      <c r="G4" t="inlineStr">
        <is>
          <t>Risk_Level</t>
        </is>
      </c>
      <c r="H4" t="inlineStr">
        <is>
          <t>Evidence_URL</t>
        </is>
      </c>
      <c r="J4" t="inlineStr">
        <is>
          <t>Syringes &amp; Needles</t>
        </is>
      </c>
      <c r="K4" t="inlineStr">
        <is>
          <t>Turkey</t>
        </is>
      </c>
      <c r="L4" t="inlineStr">
        <is>
          <t>MED</t>
        </is>
      </c>
    </row>
    <row r="5">
      <c r="A5" t="inlineStr">
        <is>
          <t>Max Risk Level</t>
        </is>
      </c>
      <c r="B5" t="inlineStr">
        <is>
          <t>MED</t>
        </is>
      </c>
      <c r="J5" t="inlineStr">
        <is>
          <t>IV Cannulas</t>
        </is>
      </c>
      <c r="K5" t="inlineStr">
        <is>
          <t>China</t>
        </is>
      </c>
      <c r="L5" t="inlineStr">
        <is>
          <t>HIGH</t>
        </is>
      </c>
    </row>
    <row r="6">
      <c r="A6" t="inlineStr">
        <is>
          <t>Batch Size</t>
        </is>
      </c>
      <c r="B6" t="n">
        <v>100</v>
      </c>
      <c r="D6">
        <f>LET(cat,$B$3,cty,$B$4,maxRisk,$B$5,batchSize,$B$6,batchNum,$B$7,tbl,Supplier_Intelligence!$A$2:$U$3001,companies,INDEX(tbl,,2),emails,INDEX(tbl,,9),country,INDEX(tbl,,3),risk,INDEX(tbl,,18),evidence,INDEX(tbl,,15),isRisk,IF(maxRisk="LOW",risk="LOW",IF(maxRisk="MED",(risk="LOW")+(risk="MED"),1)),isCat,IF(cat="",1,INDEX(tbl,,5)=cat),isCty,IF(cty="",1,country=cty),mask,(companies&lt;&gt;"")*isRisk*isCat*isCty*(emails&lt;&gt;""),filtered,FILTER(HSTACK(companies,emails,country,risk,evidence),mask,""),start,(batchNum-1)*batchSize+1,TAKE(DROP(filtered,start-1),batchSize))</f>
        <v/>
      </c>
      <c r="J6" t="inlineStr">
        <is>
          <t>IV Infusion Sets</t>
        </is>
      </c>
      <c r="K6" t="inlineStr">
        <is>
          <t>India</t>
        </is>
      </c>
    </row>
    <row r="7">
      <c r="A7" t="inlineStr">
        <is>
          <t>Batch # (1,2,3...)</t>
        </is>
      </c>
      <c r="B7" t="n">
        <v>1</v>
      </c>
      <c r="J7" t="inlineStr">
        <is>
          <t>Catheters</t>
        </is>
      </c>
      <c r="K7" t="inlineStr">
        <is>
          <t>Egypt</t>
        </is>
      </c>
    </row>
    <row r="8">
      <c r="D8">
        <f>D6</f>
        <v/>
      </c>
      <c r="J8" t="inlineStr">
        <is>
          <t>Gloves</t>
        </is>
      </c>
      <c r="K8" t="inlineStr">
        <is>
          <t>Jordan</t>
        </is>
      </c>
    </row>
    <row r="9">
      <c r="J9" t="inlineStr">
        <is>
          <t>PPE</t>
        </is>
      </c>
      <c r="K9" t="inlineStr">
        <is>
          <t>United Arab Emirates</t>
        </is>
      </c>
    </row>
    <row r="10">
      <c r="J10" t="inlineStr">
        <is>
          <t>Gauze &amp; Bandages</t>
        </is>
      </c>
      <c r="K10" t="inlineStr">
        <is>
          <t>Saudi Arabia</t>
        </is>
      </c>
    </row>
    <row r="11">
      <c r="J11" t="inlineStr">
        <is>
          <t>Disinfectants</t>
        </is>
      </c>
      <c r="K11" t="inlineStr">
        <is>
          <t>Qatar</t>
        </is>
      </c>
    </row>
    <row r="12">
      <c r="J12" t="inlineStr">
        <is>
          <t>Lab Consumables</t>
        </is>
      </c>
      <c r="K12" t="inlineStr">
        <is>
          <t>Kuwait</t>
        </is>
      </c>
    </row>
    <row r="13">
      <c r="K13" t="inlineStr">
        <is>
          <t>Oman</t>
        </is>
      </c>
    </row>
    <row r="14">
      <c r="K14" t="inlineStr">
        <is>
          <t>Bahrain</t>
        </is>
      </c>
    </row>
    <row r="15">
      <c r="K15" t="inlineStr">
        <is>
          <t>Lebanon</t>
        </is>
      </c>
    </row>
    <row r="16">
      <c r="K16" t="inlineStr">
        <is>
          <t>Iraq</t>
        </is>
      </c>
    </row>
    <row r="17">
      <c r="K17" t="inlineStr">
        <is>
          <t>Yemen</t>
        </is>
      </c>
    </row>
    <row r="18">
      <c r="K18" t="inlineStr">
        <is>
          <t>Palestine</t>
        </is>
      </c>
    </row>
    <row r="19">
      <c r="K19" t="inlineStr">
        <is>
          <t>Germany</t>
        </is>
      </c>
    </row>
    <row r="20">
      <c r="K20" t="inlineStr">
        <is>
          <t>France</t>
        </is>
      </c>
    </row>
    <row r="21">
      <c r="K21" t="inlineStr">
        <is>
          <t>Italy</t>
        </is>
      </c>
    </row>
    <row r="22">
      <c r="K22" t="inlineStr">
        <is>
          <t>Spain</t>
        </is>
      </c>
    </row>
    <row r="23">
      <c r="K23" t="inlineStr">
        <is>
          <t>United Kingdom</t>
        </is>
      </c>
    </row>
    <row r="24">
      <c r="K24" t="inlineStr">
        <is>
          <t>Syria</t>
        </is>
      </c>
    </row>
  </sheetData>
  <dataValidations count="3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1" type="list">
      <formula1>=$K$3:$K$24</formula1>
    </dataValidation>
    <dataValidation sqref="B5" showDropDown="0" showInputMessage="0" showErrorMessage="0" allowBlank="0" type="list">
      <formula1>=$L$3:$L$5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Malaysia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Malaysia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Turkey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Turkey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China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China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Egypt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Egypt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Germany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Germany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France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France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Italy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Italy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Spain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Spain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View: United Kingdom (filter by category + risk)</t>
        </is>
      </c>
    </row>
    <row r="2">
      <c r="J2" t="inlineStr">
        <is>
          <t>Categories</t>
        </is>
      </c>
      <c r="K2" t="inlineStr">
        <is>
          <t>RiskLevels</t>
        </is>
      </c>
    </row>
    <row r="3">
      <c r="A3" t="inlineStr">
        <is>
          <t>Category (optional)</t>
        </is>
      </c>
      <c r="D3" t="inlineStr">
        <is>
          <t>Filtered suppliers</t>
        </is>
      </c>
      <c r="J3" t="inlineStr">
        <is>
          <t>Wound Care</t>
        </is>
      </c>
      <c r="K3" t="inlineStr">
        <is>
          <t>LOW</t>
        </is>
      </c>
    </row>
    <row r="4">
      <c r="A4" t="inlineStr">
        <is>
          <t>Max Risk (LOW/MED/HIGH)</t>
        </is>
      </c>
      <c r="B4" t="inlineStr">
        <is>
          <t>MED</t>
        </is>
      </c>
      <c r="D4" t="inlineStr">
        <is>
          <t>Supplier_ID</t>
        </is>
      </c>
      <c r="E4" t="inlineStr">
        <is>
          <t>Company</t>
        </is>
      </c>
      <c r="F4" t="inlineStr">
        <is>
          <t>Country</t>
        </is>
      </c>
      <c r="G4" t="inlineStr">
        <is>
          <t>Supplier_Type</t>
        </is>
      </c>
      <c r="H4" t="inlineStr">
        <is>
          <t>Primary_Category</t>
        </is>
      </c>
      <c r="I4" t="inlineStr">
        <is>
          <t>Secondary_Categories</t>
        </is>
      </c>
      <c r="J4" t="inlineStr">
        <is>
          <t>Syringes &amp; Needles</t>
        </is>
      </c>
      <c r="K4" t="inlineStr">
        <is>
          <t>MED</t>
        </is>
      </c>
      <c r="L4" t="inlineStr">
        <is>
          <t>Risk_Level</t>
        </is>
      </c>
      <c r="M4" t="inlineStr">
        <is>
          <t>Evidence_URL</t>
        </is>
      </c>
    </row>
    <row r="5">
      <c r="D5">
        <f>LET(cty,"United Kingdom",cat,$B$3,maxRisk,$B$4,tbl,Supplier_Intelligence!$A$2:$U$3001,sid,INDEX(tbl,,1),co,INDEX(tbl,,2),country,INDEX(tbl,,3),stype,INDEX(tbl,,4),pcat,INDEX(tbl,,5),scat,INDEX(tbl,,6),web,INDEX(tbl,,8),em,INDEX(tbl,,9),risk,INDEX(tbl,,18),ev,INDEX(tbl,,15),isCty,country=cty,isCat,IF(cat="",1,pcat=cat),isRisk,IF(maxRisk="LOW",risk="LOW",IF(maxRisk="MED",(risk="LOW")+(risk="MED"),1)),mask,(co&lt;&gt;"")*(em&lt;&gt;"")*isCty*isCat*isRisk,FILTER(HSTACK(sid,co,country,stype,pcat,scat,web,em,risk,ev),mask,""))</f>
        <v/>
      </c>
      <c r="J5" t="inlineStr">
        <is>
          <t>IV Cannulas</t>
        </is>
      </c>
      <c r="K5" t="inlineStr">
        <is>
          <t>HIGH</t>
        </is>
      </c>
    </row>
    <row r="6">
      <c r="J6" t="inlineStr">
        <is>
          <t>IV Infusion Sets</t>
        </is>
      </c>
    </row>
    <row r="7">
      <c r="J7" t="inlineStr">
        <is>
          <t>Catheters</t>
        </is>
      </c>
    </row>
    <row r="8">
      <c r="J8" t="inlineStr">
        <is>
          <t>Gloves</t>
        </is>
      </c>
    </row>
    <row r="9">
      <c r="J9" t="inlineStr">
        <is>
          <t>PPE</t>
        </is>
      </c>
    </row>
    <row r="10">
      <c r="J10" t="inlineStr">
        <is>
          <t>Gauze &amp; Bandages</t>
        </is>
      </c>
    </row>
    <row r="11">
      <c r="J11" t="inlineStr">
        <is>
          <t>Disinfectants</t>
        </is>
      </c>
    </row>
    <row r="12">
      <c r="J12" t="inlineStr">
        <is>
          <t>Lab Consumables</t>
        </is>
      </c>
    </row>
  </sheetData>
  <dataValidations count="2">
    <dataValidation sqref="B3" showDropDown="0" showInputMessage="0" showErrorMessage="0" allowBlank="1" type="list">
      <formula1>=$J$3:$J$12</formula1>
    </dataValidation>
    <dataValidation sqref="B4" showDropDown="0" showInputMessage="0" showErrorMessage="0" allowBlank="0" type="list">
      <formula1>=$K$3:$K$5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2026-03-04T20:40:09Z</dcterms:created>
  <dcterms:modified xmlns:dcterms="http://purl.org/dc/terms/" xmlns:xsi="http://www.w3.org/2001/XMLSchema-instance" xsi:type="dcterms:W3CDTF">2026-03-05T00:43:16Z</dcterms:modified>
</cp:coreProperties>
</file>